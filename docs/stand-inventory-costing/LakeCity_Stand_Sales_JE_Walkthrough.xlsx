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d7645d1b814c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 Assumptions" sheetId="1" r:id="Re643fa2620eb45ef"/>
    <x:sheet xmlns:r="http://schemas.openxmlformats.org/officeDocument/2006/relationships" name="02 Initial Contract" sheetId="2" r:id="Ra302d341357e4312"/>
    <x:sheet xmlns:r="http://schemas.openxmlformats.org/officeDocument/2006/relationships" name="03 Deposit First Payment" sheetId="3" r:id="R888f845caf134269"/>
    <x:sheet xmlns:r="http://schemas.openxmlformats.org/officeDocument/2006/relationships" name="04 Instalment Due No JE" sheetId="4" r:id="R765cda0d3b8a4c2e"/>
    <x:sheet xmlns:r="http://schemas.openxmlformats.org/officeDocument/2006/relationships" name="05 Monthly Payment" sheetId="5" r:id="R3ba9b5b38e814110"/>
    <x:sheet xmlns:r="http://schemas.openxmlformats.org/officeDocument/2006/relationships" name="06 VAT Remittance" sheetId="6" r:id="R929679f23b7a4eb9"/>
    <x:sheet xmlns:r="http://schemas.openxmlformats.org/officeDocument/2006/relationships" name="07 COS Recognition" sheetId="7" r:id="R4d8c9523b20b4c6a"/>
    <x:sheet xmlns:r="http://schemas.openxmlformats.org/officeDocument/2006/relationships" name="08 Final Transfer" sheetId="8" r:id="Rd9f7a5e2fa024c06"/>
    <x:sheet xmlns:r="http://schemas.openxmlformats.org/officeDocument/2006/relationships" name="09 Missed Payment" sheetId="9" r:id="R834a6231ef9343e1"/>
    <x:sheet xmlns:r="http://schemas.openxmlformats.org/officeDocument/2006/relationships" name="10 Default Pending" sheetId="10" r:id="R78d5e0dc6f5a4ebb"/>
    <x:sheet xmlns:r="http://schemas.openxmlformats.org/officeDocument/2006/relationships" name="11 Forfeiture Approved" sheetId="11" r:id="R466c67fc975f4f0b"/>
    <x:sheet xmlns:r="http://schemas.openxmlformats.org/officeDocument/2006/relationships" name="12 Cancellation Refund" sheetId="12" r:id="R2d02ef0fa28c436c"/>
    <x:sheet xmlns:r="http://schemas.openxmlformats.org/officeDocument/2006/relationships" name="13 AOS Chigwanda" sheetId="13" r:id="Rc6fec086fcf84e32"/>
    <x:sheet xmlns:r="http://schemas.openxmlformats.org/officeDocument/2006/relationships" name="14 Conveyancing PassThrough" sheetId="14" r:id="R9fe40e7f80264aab"/>
    <x:sheet xmlns:r="http://schemas.openxmlformats.org/officeDocument/2006/relationships" name="15 Control Checks" sheetId="15" r:id="R698f620d9adf4a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.00%"/>
  </x:numFmts>
  <x:fonts count="9">
    <x:font>
      <x:sz val="11"/>
      <x:name val="Carlito"/>
    </x:font>
    <x:font>
      <x:b/>
      <x:sz val="14"/>
      <x:color rgb="FFFFFF"/>
      <x:name val="Carlito"/>
    </x:font>
    <x:font>
      <x:i/>
      <x:sz val="11"/>
      <x:color rgb="1F1F1F"/>
      <x:name val="Carlito"/>
    </x:font>
    <x:font>
      <x:b/>
      <x:sz val="11"/>
      <x:color rgb="FFFFFF"/>
      <x:name val="Carlito"/>
    </x:font>
    <x:font>
      <x:b/>
      <x:sz val="11"/>
      <x:color rgb="1F1F1F"/>
      <x:name val="Carlito"/>
    </x:font>
    <x:font>
      <x:b/>
      <x:sz val="10"/>
      <x:color rgb="FFFFFF"/>
      <x:name val="Carlito"/>
    </x:font>
    <x:font>
      <x:i/>
      <x:sz val="10"/>
      <x:color rgb="1F1F1F"/>
      <x:name val="Carlito"/>
    </x:font>
    <x:font>
      <x:sz val="10"/>
      <x:name val="Carlito"/>
    </x:font>
    <x:font>
      <x:b/>
      <x:sz val="10"/>
      <x:color rgb="1F1F1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FFF2CC"/>
      </x:patternFill>
    </x:fill>
    <x:fill>
      <x:patternFill patternType="solid">
        <x:fgColor rgb="D9EAF7"/>
      </x:patternFill>
    </x:fill>
  </x:fills>
  <x:borders count="26">
    <x:border/>
    <x:border/>
    <x:border>
      <x:left>
        <x:color rgb="A6A6A6"/>
      </x:left>
      <x:right>
        <x:color rgb="D9D9D9"/>
      </x:right>
      <x:top>
        <x:color rgb="A6A6A6"/>
      </x:top>
      <x:bottom>
        <x:color rgb="D9D9D9"/>
      </x:bottom>
    </x:border>
    <x:border>
      <x:left>
        <x:color rgb="D9D9D9"/>
      </x:left>
      <x:right>
        <x:color rgb="D9D9D9"/>
      </x:right>
      <x:top>
        <x:color rgb="A6A6A6"/>
      </x:top>
      <x:bottom>
        <x:color rgb="D9D9D9"/>
      </x:bottom>
    </x:border>
    <x:border>
      <x:left>
        <x:color rgb="D9D9D9"/>
      </x:left>
      <x:right>
        <x:color rgb="A6A6A6"/>
      </x:right>
      <x:top>
        <x:color rgb="A6A6A6"/>
      </x:top>
      <x:bottom>
        <x:color rgb="D9D9D9"/>
      </x:bottom>
    </x:border>
    <x:border>
      <x:left>
        <x:color rgb="A6A6A6"/>
      </x:left>
      <x:right>
        <x:color rgb="D9D9D9"/>
      </x:right>
      <x:top>
        <x:color rgb="D9D9D9"/>
      </x:top>
      <x:bottom>
        <x:color rgb="D9D9D9"/>
      </x:bottom>
    </x:border>
    <x:border>
      <x:left>
        <x:color rgb="D9D9D9"/>
      </x:left>
      <x:right>
        <x:color rgb="D9D9D9"/>
      </x:right>
      <x:top>
        <x:color rgb="D9D9D9"/>
      </x:top>
      <x:bottom>
        <x:color rgb="D9D9D9"/>
      </x:bottom>
    </x:border>
    <x:border>
      <x:left>
        <x:color rgb="D9D9D9"/>
      </x:left>
      <x:right>
        <x:color rgb="A6A6A6"/>
      </x:right>
      <x:top>
        <x:color rgb="D9D9D9"/>
      </x:top>
      <x:bottom>
        <x:color rgb="D9D9D9"/>
      </x:bottom>
    </x:border>
    <x:border>
      <x:left>
        <x:color rgb="A6A6A6"/>
      </x:left>
      <x:right>
        <x:color rgb="D9D9D9"/>
      </x:right>
      <x:top>
        <x:color rgb="D9D9D9"/>
      </x:top>
      <x:bottom>
        <x:color rgb="A6A6A6"/>
      </x:bottom>
    </x:border>
    <x:border>
      <x:left>
        <x:color rgb="D9D9D9"/>
      </x:left>
      <x:right>
        <x:color rgb="D9D9D9"/>
      </x:right>
      <x:top>
        <x:color rgb="D9D9D9"/>
      </x:top>
      <x:bottom>
        <x:color rgb="A6A6A6"/>
      </x:bottom>
    </x:border>
    <x:border>
      <x:left>
        <x:color rgb="D9D9D9"/>
      </x:left>
      <x:right>
        <x:color rgb="A6A6A6"/>
      </x:right>
      <x:top>
        <x:color rgb="D9D9D9"/>
      </x:top>
      <x:bottom>
        <x:color rgb="A6A6A6"/>
      </x:bottom>
    </x:border>
    <x:border>
      <x:left>
        <x:color rgb="A6A6A6"/>
      </x:left>
      <x:right>
        <x:color rgb="D9D9D9"/>
      </x:right>
      <x:top>
        <x:color rgb="A6A6A6"/>
      </x:top>
      <x:bottom>
        <x:color rgb="D9D9D9"/>
      </x:bottom>
    </x:border>
    <x:border>
      <x:left>
        <x:color rgb="D9D9D9"/>
      </x:left>
      <x:right>
        <x:color rgb="D9D9D9"/>
      </x:right>
      <x:top>
        <x:color rgb="A6A6A6"/>
      </x:top>
      <x:bottom>
        <x:color rgb="D9D9D9"/>
      </x:bottom>
    </x:border>
    <x:border>
      <x:left>
        <x:color rgb="D9D9D9"/>
      </x:left>
      <x:right>
        <x:color rgb="A6A6A6"/>
      </x:right>
      <x:top>
        <x:color rgb="A6A6A6"/>
      </x:top>
      <x:bottom>
        <x:color rgb="D9D9D9"/>
      </x:bottom>
    </x:border>
    <x:border>
      <x:left>
        <x:color rgb="A6A6A6"/>
      </x:left>
      <x:right>
        <x:color rgb="D9D9D9"/>
      </x:right>
      <x:top>
        <x:color rgb="D9D9D9"/>
      </x:top>
      <x:bottom>
        <x:color rgb="D9D9D9"/>
      </x:bottom>
    </x:border>
    <x:border>
      <x:left>
        <x:color rgb="D9D9D9"/>
      </x:left>
      <x:right>
        <x:color rgb="D9D9D9"/>
      </x:right>
      <x:top>
        <x:color rgb="D9D9D9"/>
      </x:top>
      <x:bottom>
        <x:color rgb="D9D9D9"/>
      </x:bottom>
    </x:border>
    <x:border>
      <x:left>
        <x:color rgb="D9D9D9"/>
      </x:left>
      <x:right>
        <x:color rgb="A6A6A6"/>
      </x:right>
      <x:top>
        <x:color rgb="D9D9D9"/>
      </x:top>
      <x:bottom>
        <x:color rgb="D9D9D9"/>
      </x:bottom>
    </x:border>
    <x:border>
      <x:left>
        <x:color rgb="A6A6A6"/>
      </x:left>
      <x:right>
        <x:color rgb="D9D9D9"/>
      </x:right>
      <x:top>
        <x:color rgb="D9D9D9"/>
      </x:top>
      <x:bottom>
        <x:color rgb="A6A6A6"/>
      </x:bottom>
    </x:border>
    <x:border>
      <x:left>
        <x:color rgb="D9D9D9"/>
      </x:left>
      <x:right>
        <x:color rgb="D9D9D9"/>
      </x:right>
      <x:top>
        <x:color rgb="D9D9D9"/>
      </x:top>
      <x:bottom>
        <x:color rgb="A6A6A6"/>
      </x:bottom>
    </x:border>
    <x:border>
      <x:left>
        <x:color rgb="D9D9D9"/>
      </x:left>
      <x:right>
        <x:color rgb="A6A6A6"/>
      </x:right>
      <x:top>
        <x:color rgb="D9D9D9"/>
      </x:top>
      <x:bottom>
        <x:color rgb="A6A6A6"/>
      </x:bottom>
    </x:border>
    <x:border>
      <x:left>
        <x:color rgb="A6A6A6"/>
      </x:left>
      <x:right>
        <x:color rgb="D9D9D9"/>
      </x:right>
      <x:top>
        <x:color rgb="A6A6A6"/>
      </x:top>
      <x:bottom>
        <x:color rgb="A6A6A6"/>
      </x:bottom>
    </x:border>
    <x:border>
      <x:left>
        <x:color rgb="D9D9D9"/>
      </x:left>
      <x:right>
        <x:color rgb="D9D9D9"/>
      </x:right>
      <x:top>
        <x:color rgb="A6A6A6"/>
      </x:top>
      <x:bottom>
        <x:color rgb="A6A6A6"/>
      </x:bottom>
    </x:border>
    <x:border>
      <x:left>
        <x:color rgb="D9D9D9"/>
      </x:left>
      <x:right>
        <x:color rgb="A6A6A6"/>
      </x:right>
      <x:top>
        <x:color rgb="A6A6A6"/>
      </x:top>
      <x:bottom>
        <x:color rgb="A6A6A6"/>
      </x:bottom>
    </x:border>
    <x:border>
      <x:left>
        <x:color rgb="A6A6A6"/>
      </x:left>
      <x:right>
        <x:color rgb="D9D9D9"/>
      </x:right>
      <x:top>
        <x:color rgb="A6A6A6"/>
      </x:top>
      <x:bottom>
        <x:color rgb="A6A6A6"/>
      </x:bottom>
    </x:border>
    <x:border>
      <x:left>
        <x:color rgb="D9D9D9"/>
      </x:left>
      <x:right>
        <x:color rgb="D9D9D9"/>
      </x:right>
      <x:top>
        <x:color rgb="A6A6A6"/>
      </x:top>
      <x:bottom>
        <x:color rgb="A6A6A6"/>
      </x:bottom>
    </x:border>
    <x:border>
      <x:left>
        <x:color rgb="D9D9D9"/>
      </x:left>
      <x:right>
        <x:color rgb="A6A6A6"/>
      </x:right>
      <x:top>
        <x:color rgb="A6A6A6"/>
      </x:top>
      <x:bottom>
        <x:color rgb="A6A6A6"/>
      </x:bottom>
    </x:border>
  </x:borders>
  <x:cellStyleXfs count="1">
    <x:xf numFmtId="0" fontId="0" fillId="0" borderId="0"/>
  </x:cellStyleXfs>
  <x:cellXfs count="17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3" fillId="2" borderId="11" xfId="0" applyNumberFormat="1" applyFont="1" applyFill="1" applyBorder="1" applyAlignment="1">
      <x:alignment horizontal="center" vertical="center" wrapText="1"/>
    </x:xf>
    <x:xf numFmtId="0" fontId="3" fillId="2" borderId="12" xfId="0" applyNumberFormat="1" applyFont="1" applyFill="1" applyBorder="1" applyAlignment="1">
      <x:alignment horizontal="center" vertical="center" wrapText="1"/>
    </x:xf>
    <x:xf numFmtId="0" fontId="3" fillId="2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200" fontId="0" fillId="0" borderId="6" xfId="0" applyNumberFormat="1" applyFont="1" applyFill="1" applyBorder="1"/>
    <x:xf numFmtId="200" fontId="0" fillId="0" borderId="9" xfId="0" applyNumberFormat="1" applyFont="1" applyFill="1" applyBorder="1"/>
    <x:xf numFmtId="200" fontId="0" fillId="0" borderId="15" xfId="0" applyNumberFormat="1" applyFont="1" applyFill="1" applyBorder="1"/>
    <x:xf numFmtId="200" fontId="0" fillId="0" borderId="18" xfId="0" applyNumberFormat="1" applyFont="1" applyFill="1" applyBorder="1"/>
    <x:xf numFmtId="201" fontId="0" fillId="0" borderId="6" xfId="0" applyNumberFormat="1" applyFont="1" applyFill="1" applyBorder="1"/>
    <x:xf numFmtId="201" fontId="0" fillId="0" borderId="15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left" wrapText="1"/>
    </x:xf>
    <x:xf numFmtId="0" fontId="4" fillId="4" borderId="0" xfId="0" applyNumberFormat="1" applyFont="1" applyFill="1" applyBorder="1" applyAlignment="1">
      <x:alignment horizontal="left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left" wrapText="1"/>
    </x:xf>
    <x:xf numFmtId="0" fontId="4" fillId="4" borderId="1" xfId="0" applyNumberFormat="1" applyFont="1" applyFill="1" applyBorder="1" applyAlignment="1">
      <x:alignment horizontal="left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20" xfId="0" applyNumberFormat="1" applyFont="1" applyFill="1" applyBorder="1" applyAlignment="1">
      <x:alignment horizontal="center" vertical="center" wrapText="1"/>
    </x:xf>
    <x:xf numFmtId="0" fontId="3" fillId="2" borderId="21" xfId="0" applyNumberFormat="1" applyFont="1" applyFill="1" applyBorder="1" applyAlignment="1">
      <x:alignment horizontal="center" vertical="center" wrapText="1"/>
    </x:xf>
    <x:xf numFmtId="0" fontId="3" fillId="2" borderId="22" xfId="0" applyNumberFormat="1" applyFont="1" applyFill="1" applyBorder="1" applyAlignment="1">
      <x:alignment horizontal="center" vertical="center" wrapText="1"/>
    </x:xf>
    <x:xf numFmtId="0" fontId="3" fillId="2" borderId="23" xfId="0" applyNumberFormat="1" applyFont="1" applyFill="1" applyBorder="1" applyAlignment="1">
      <x:alignment horizontal="center" vertical="center" wrapText="1"/>
    </x:xf>
    <x:xf numFmtId="0" fontId="3" fillId="2" borderId="24" xfId="0" applyNumberFormat="1" applyFont="1" applyFill="1" applyBorder="1" applyAlignment="1">
      <x:alignment horizontal="center" vertical="center" wrapText="1"/>
    </x:xf>
    <x:xf numFmtId="0" fontId="3" fillId="2" borderId="2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201" fontId="0" fillId="0" borderId="6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200" fontId="0" fillId="0" borderId="15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1" fontId="0" fillId="0" borderId="15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200" fontId="0" fillId="0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2" borderId="2" xfId="0" applyNumberFormat="1" applyFont="1" applyFill="1" applyBorder="1" applyAlignment="1">
      <x:alignment horizontal="center" vertical="top" wrapText="1"/>
    </x:xf>
    <x:xf numFmtId="0" fontId="3" fillId="2" borderId="3" xfId="0" applyNumberFormat="1" applyFont="1" applyFill="1" applyBorder="1" applyAlignment="1">
      <x:alignment horizontal="center" vertical="top" wrapText="1"/>
    </x:xf>
    <x:xf numFmtId="0" fontId="3" fillId="2" borderId="4" xfId="0" applyNumberFormat="1" applyFont="1" applyFill="1" applyBorder="1" applyAlignment="1">
      <x:alignment horizontal="center" vertical="top" wrapText="1"/>
    </x:xf>
    <x:xf numFmtId="0" fontId="0" fillId="0" borderId="5" xfId="0" applyNumberFormat="1" applyFont="1" applyFill="1" applyBorder="1" applyAlignment="1">
      <x:alignment vertical="top" wrapText="1"/>
    </x:xf>
    <x:xf numFmtId="200" fontId="0" fillId="0" borderId="6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201" fontId="0" fillId="0" borderId="6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horizontal="left" vertical="top" wrapText="1"/>
    </x:xf>
    <x:xf numFmtId="0" fontId="1" fillId="2" borderId="1" xfId="0" applyNumberFormat="1" applyFont="1" applyFill="1" applyBorder="1" applyAlignment="1">
      <x:alignment horizontal="left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11" xfId="0" applyNumberFormat="1" applyFont="1" applyFill="1" applyBorder="1" applyAlignment="1">
      <x:alignment horizontal="center" vertical="top" wrapText="1"/>
    </x:xf>
    <x:xf numFmtId="0" fontId="3" fillId="2" borderId="12" xfId="0" applyNumberFormat="1" applyFont="1" applyFill="1" applyBorder="1" applyAlignment="1">
      <x:alignment horizontal="center" vertical="top" wrapText="1"/>
    </x:xf>
    <x:xf numFmtId="0" fontId="3" fillId="2" borderId="13" xfId="0" applyNumberFormat="1" applyFont="1" applyFill="1" applyBorder="1" applyAlignment="1">
      <x:alignment horizontal="center" vertical="top" wrapText="1"/>
    </x:xf>
    <x:xf numFmtId="0" fontId="0" fillId="0" borderId="14" xfId="0" applyNumberFormat="1" applyFont="1" applyFill="1" applyBorder="1" applyAlignment="1">
      <x:alignment vertical="top" wrapText="1"/>
    </x:xf>
    <x:xf numFmtId="200" fontId="0" fillId="0" borderId="15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201" fontId="0" fillId="0" borderId="15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200" fontId="0" fillId="0" borderId="18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horizontal="left" vertical="top" wrapText="1"/>
    </x:xf>
    <x:xf numFmtId="0" fontId="5" fillId="2" borderId="0" xfId="0" applyNumberFormat="1" applyFont="1" applyFill="1" applyBorder="1" applyAlignment="1">
      <x:alignment horizontal="left" vertical="top" wrapText="1"/>
    </x:xf>
    <x:xf numFmtId="0" fontId="6" fillId="3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5" fillId="2" borderId="2" xfId="0" applyNumberFormat="1" applyFont="1" applyFill="1" applyBorder="1" applyAlignment="1">
      <x:alignment horizontal="center" vertical="top" wrapText="1"/>
    </x:xf>
    <x:xf numFmtId="0" fontId="5" fillId="2" borderId="3" xfId="0" applyNumberFormat="1" applyFont="1" applyFill="1" applyBorder="1" applyAlignment="1">
      <x:alignment horizontal="center" vertical="top" wrapText="1"/>
    </x:xf>
    <x:xf numFmtId="0" fontId="5" fillId="2" borderId="4" xfId="0" applyNumberFormat="1" applyFont="1" applyFill="1" applyBorder="1" applyAlignment="1">
      <x:alignment horizontal="center" vertical="top" wrapText="1"/>
    </x:xf>
    <x:xf numFmtId="0" fontId="7" fillId="0" borderId="5" xfId="0" applyNumberFormat="1" applyFont="1" applyFill="1" applyBorder="1" applyAlignment="1">
      <x:alignment vertical="top" wrapText="1"/>
    </x:xf>
    <x:xf numFmtId="200" fontId="7" fillId="0" borderId="6" xfId="0" applyNumberFormat="1" applyFont="1" applyFill="1" applyBorder="1" applyAlignment="1">
      <x:alignment vertical="top" wrapText="1"/>
    </x:xf>
    <x:xf numFmtId="0" fontId="7" fillId="0" borderId="6" xfId="0" applyNumberFormat="1" applyFont="1" applyFill="1" applyBorder="1" applyAlignment="1">
      <x:alignment vertical="top" wrapText="1"/>
    </x:xf>
    <x:xf numFmtId="0" fontId="7" fillId="0" borderId="7" xfId="0" applyNumberFormat="1" applyFont="1" applyFill="1" applyBorder="1" applyAlignment="1">
      <x:alignment vertical="top" wrapText="1"/>
    </x:xf>
    <x:xf numFmtId="201" fontId="7" fillId="0" borderId="6" xfId="0" applyNumberFormat="1" applyFont="1" applyFill="1" applyBorder="1" applyAlignment="1">
      <x:alignment vertical="top" wrapText="1"/>
    </x:xf>
    <x:xf numFmtId="0" fontId="7" fillId="0" borderId="8" xfId="0" applyNumberFormat="1" applyFont="1" applyFill="1" applyBorder="1" applyAlignment="1">
      <x:alignment vertical="top" wrapText="1"/>
    </x:xf>
    <x:xf numFmtId="200" fontId="7" fillId="0" borderId="9" xfId="0" applyNumberFormat="1" applyFont="1" applyFill="1" applyBorder="1" applyAlignment="1">
      <x:alignment vertical="top" wrapText="1"/>
    </x:xf>
    <x:xf numFmtId="0" fontId="7" fillId="0" borderId="9" xfId="0" applyNumberFormat="1" applyFont="1" applyFill="1" applyBorder="1" applyAlignment="1">
      <x:alignment vertical="top" wrapText="1"/>
    </x:xf>
    <x:xf numFmtId="0" fontId="7" fillId="0" borderId="10" xfId="0" applyNumberFormat="1" applyFont="1" applyFill="1" applyBorder="1" applyAlignment="1">
      <x:alignment vertical="top" wrapText="1"/>
    </x:xf>
    <x:xf numFmtId="0" fontId="8" fillId="4" borderId="0" xfId="0" applyNumberFormat="1" applyFont="1" applyFill="1" applyBorder="1" applyAlignment="1">
      <x:alignment horizontal="left" vertical="top" wrapText="1"/>
    </x:xf>
    <x:xf numFmtId="0" fontId="5" fillId="2" borderId="1" xfId="0" applyNumberFormat="1" applyFont="1" applyFill="1" applyBorder="1" applyAlignment="1">
      <x:alignment horizontal="left" vertical="top" wrapText="1"/>
    </x:xf>
    <x:xf numFmtId="0" fontId="6" fillId="3" borderId="1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0" fontId="5" fillId="2" borderId="11" xfId="0" applyNumberFormat="1" applyFont="1" applyFill="1" applyBorder="1" applyAlignment="1">
      <x:alignment horizontal="center" vertical="top" wrapText="1"/>
    </x:xf>
    <x:xf numFmtId="0" fontId="5" fillId="2" borderId="12" xfId="0" applyNumberFormat="1" applyFont="1" applyFill="1" applyBorder="1" applyAlignment="1">
      <x:alignment horizontal="center" vertical="top" wrapText="1"/>
    </x:xf>
    <x:xf numFmtId="0" fontId="5" fillId="2" borderId="13" xfId="0" applyNumberFormat="1" applyFont="1" applyFill="1" applyBorder="1" applyAlignment="1">
      <x:alignment horizontal="center" vertical="top" wrapText="1"/>
    </x:xf>
    <x:xf numFmtId="0" fontId="7" fillId="0" borderId="14" xfId="0" applyNumberFormat="1" applyFont="1" applyFill="1" applyBorder="1" applyAlignment="1">
      <x:alignment vertical="top" wrapText="1"/>
    </x:xf>
    <x:xf numFmtId="200" fontId="7" fillId="0" borderId="15" xfId="0" applyNumberFormat="1" applyFont="1" applyFill="1" applyBorder="1" applyAlignment="1">
      <x:alignment vertical="top" wrapText="1"/>
    </x:xf>
    <x:xf numFmtId="0" fontId="7" fillId="0" borderId="15" xfId="0" applyNumberFormat="1" applyFont="1" applyFill="1" applyBorder="1" applyAlignment="1">
      <x:alignment vertical="top" wrapText="1"/>
    </x:xf>
    <x:xf numFmtId="0" fontId="7" fillId="0" borderId="16" xfId="0" applyNumberFormat="1" applyFont="1" applyFill="1" applyBorder="1" applyAlignment="1">
      <x:alignment vertical="top" wrapText="1"/>
    </x:xf>
    <x:xf numFmtId="201" fontId="7" fillId="0" borderId="15" xfId="0" applyNumberFormat="1" applyFont="1" applyFill="1" applyBorder="1" applyAlignment="1">
      <x:alignment vertical="top" wrapText="1"/>
    </x:xf>
    <x:xf numFmtId="0" fontId="7" fillId="0" borderId="17" xfId="0" applyNumberFormat="1" applyFont="1" applyFill="1" applyBorder="1" applyAlignment="1">
      <x:alignment vertical="top" wrapText="1"/>
    </x:xf>
    <x:xf numFmtId="200" fontId="7" fillId="0" borderId="18" xfId="0" applyNumberFormat="1" applyFont="1" applyFill="1" applyBorder="1" applyAlignment="1">
      <x:alignment vertical="top" wrapText="1"/>
    </x:xf>
    <x:xf numFmtId="0" fontId="7" fillId="0" borderId="18" xfId="0" applyNumberFormat="1" applyFont="1" applyFill="1" applyBorder="1" applyAlignment="1">
      <x:alignment vertical="top" wrapText="1"/>
    </x:xf>
    <x:xf numFmtId="0" fontId="7" fillId="0" borderId="19" xfId="0" applyNumberFormat="1" applyFont="1" applyFill="1" applyBorder="1" applyAlignment="1">
      <x:alignment vertical="top" wrapText="1"/>
    </x:xf>
    <x:xf numFmtId="0" fontId="8" fillId="4" borderId="1" xfId="0" applyNumberFormat="1" applyFont="1" applyFill="1" applyBorder="1" applyAlignment="1">
      <x:alignment horizontal="left" vertical="top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vertical="top" wrapText="1"/>
    </x:xf>
    <x:xf numFmtId="0" fontId="3" fillId="2" borderId="20" xfId="0" applyNumberFormat="1" applyFont="1" applyFill="1" applyBorder="1" applyAlignment="1">
      <x:alignment horizontal="center" vertical="top" wrapText="1"/>
    </x:xf>
    <x:xf numFmtId="0" fontId="3" fillId="2" borderId="21" xfId="0" applyNumberFormat="1" applyFont="1" applyFill="1" applyBorder="1" applyAlignment="1">
      <x:alignment horizontal="center" vertical="top" wrapText="1"/>
    </x:xf>
    <x:xf numFmtId="0" fontId="3" fillId="2" borderId="22" xfId="0" applyNumberFormat="1" applyFont="1" applyFill="1" applyBorder="1" applyAlignment="1">
      <x:alignment horizontal="center"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3" fillId="2" borderId="23" xfId="0" applyNumberFormat="1" applyFont="1" applyFill="1" applyBorder="1" applyAlignment="1">
      <x:alignment horizontal="center" vertical="top" wrapText="1"/>
    </x:xf>
    <x:xf numFmtId="0" fontId="3" fillId="2" borderId="24" xfId="0" applyNumberFormat="1" applyFont="1" applyFill="1" applyBorder="1" applyAlignment="1">
      <x:alignment horizontal="center" vertical="top" wrapText="1"/>
    </x:xf>
    <x:xf numFmtId="0" fontId="3" fillId="2" borderId="25" xfId="0" applyNumberFormat="1" applyFont="1" applyFill="1" applyBorder="1" applyAlignment="1">
      <x:alignment horizontal="center" vertical="top" wrapText="1"/>
    </x:xf>
    <x:xf numFmtId="200" fontId="7" fillId="0" borderId="0" xfId="0" applyNumberFormat="1" applyFont="1" applyFill="1" applyBorder="1" applyAlignment="1">
      <x:alignment vertical="top" wrapText="1"/>
    </x:xf>
    <x:xf numFmtId="0" fontId="5" fillId="2" borderId="20" xfId="0" applyNumberFormat="1" applyFont="1" applyFill="1" applyBorder="1" applyAlignment="1">
      <x:alignment horizontal="center" vertical="top" wrapText="1"/>
    </x:xf>
    <x:xf numFmtId="0" fontId="5" fillId="2" borderId="21" xfId="0" applyNumberFormat="1" applyFont="1" applyFill="1" applyBorder="1" applyAlignment="1">
      <x:alignment horizontal="center" vertical="top" wrapText="1"/>
    </x:xf>
    <x:xf numFmtId="0" fontId="5" fillId="2" borderId="22" xfId="0" applyNumberFormat="1" applyFont="1" applyFill="1" applyBorder="1" applyAlignment="1">
      <x:alignment horizontal="center" vertical="top" wrapText="1"/>
    </x:xf>
    <x:xf numFmtId="200" fontId="7" fillId="0" borderId="1" xfId="0" applyNumberFormat="1" applyFont="1" applyFill="1" applyBorder="1" applyAlignment="1">
      <x:alignment vertical="top" wrapText="1"/>
    </x:xf>
    <x:xf numFmtId="0" fontId="5" fillId="2" borderId="23" xfId="0" applyNumberFormat="1" applyFont="1" applyFill="1" applyBorder="1" applyAlignment="1">
      <x:alignment horizontal="center" vertical="top" wrapText="1"/>
    </x:xf>
    <x:xf numFmtId="0" fontId="5" fillId="2" borderId="24" xfId="0" applyNumberFormat="1" applyFont="1" applyFill="1" applyBorder="1" applyAlignment="1">
      <x:alignment horizontal="center" vertical="top" wrapText="1"/>
    </x:xf>
    <x:xf numFmtId="0" fontId="5" fillId="2" borderId="25" xfId="0" applyNumberFormat="1" applyFont="1" applyFill="1" applyBorder="1" applyAlignment="1">
      <x:alignment horizontal="center" vertical="top" wrapText="1"/>
    </x:xf>
    <x:xf numFmtId="0" fontId="7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7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be10f89b5b4953" /><Relationship Type="http://schemas.openxmlformats.org/officeDocument/2006/relationships/theme" Target="/xl/theme/theme1.xml" Id="R13e5a902303f467f" /><Relationship Type="http://schemas.openxmlformats.org/officeDocument/2006/relationships/sharedStrings" Target="/xl/sharedStrings.xml" Id="R78e42f8591ab48f3" /><Relationship Type="http://schemas.openxmlformats.org/officeDocument/2006/relationships/worksheet" Target="/xl/worksheets/sheet1.xml" Id="Re643fa2620eb45ef" /><Relationship Type="http://schemas.openxmlformats.org/officeDocument/2006/relationships/worksheet" Target="/xl/worksheets/sheet2.xml" Id="Ra302d341357e4312" /><Relationship Type="http://schemas.openxmlformats.org/officeDocument/2006/relationships/worksheet" Target="/xl/worksheets/sheet3.xml" Id="R888f845caf134269" /><Relationship Type="http://schemas.openxmlformats.org/officeDocument/2006/relationships/worksheet" Target="/xl/worksheets/sheet4.xml" Id="R765cda0d3b8a4c2e" /><Relationship Type="http://schemas.openxmlformats.org/officeDocument/2006/relationships/worksheet" Target="/xl/worksheets/sheet5.xml" Id="R3ba9b5b38e814110" /><Relationship Type="http://schemas.openxmlformats.org/officeDocument/2006/relationships/worksheet" Target="/xl/worksheets/sheet6.xml" Id="R929679f23b7a4eb9" /><Relationship Type="http://schemas.openxmlformats.org/officeDocument/2006/relationships/worksheet" Target="/xl/worksheets/sheet7.xml" Id="R4d8c9523b20b4c6a" /><Relationship Type="http://schemas.openxmlformats.org/officeDocument/2006/relationships/worksheet" Target="/xl/worksheets/sheet8.xml" Id="Rd9f7a5e2fa024c06" /><Relationship Type="http://schemas.openxmlformats.org/officeDocument/2006/relationships/worksheet" Target="/xl/worksheets/sheet9.xml" Id="R834a6231ef9343e1" /><Relationship Type="http://schemas.openxmlformats.org/officeDocument/2006/relationships/worksheet" Target="/xl/worksheets/sheet10.xml" Id="R78d5e0dc6f5a4ebb" /><Relationship Type="http://schemas.openxmlformats.org/officeDocument/2006/relationships/worksheet" Target="/xl/worksheets/sheet11.xml" Id="R466c67fc975f4f0b" /><Relationship Type="http://schemas.openxmlformats.org/officeDocument/2006/relationships/worksheet" Target="/xl/worksheets/sheet12.xml" Id="R2d02ef0fa28c436c" /><Relationship Type="http://schemas.openxmlformats.org/officeDocument/2006/relationships/worksheet" Target="/xl/worksheets/sheet13.xml" Id="Rc6fec086fcf84e32" /><Relationship Type="http://schemas.openxmlformats.org/officeDocument/2006/relationships/worksheet" Target="/xl/worksheets/sheet14.xml" Id="R9fe40e7f80264aab" /><Relationship Type="http://schemas.openxmlformats.org/officeDocument/2006/relationships/worksheet" Target="/xl/worksheets/sheet15.xml" Id="R698f620d9adf4a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32" hidden="0" customWidth="1"/>
    <x:col min="4" max="4" width="46" hidden="0" customWidth="1"/>
    <x:col min="5" max="5" width="16" hidden="0" customWidth="1"/>
    <x:col min="6" max="6" width="16" hidden="0" customWidth="1"/>
    <x:col min="7" max="7" width="20" hidden="0" customWidth="1"/>
    <x:col min="8" max="8" width="38" hidden="0" customWidth="1"/>
  </x:cols>
  <x:sheetData>
    <x:row r="1" ht="28" customHeight="1">
      <x:c r="A1" s="6" t="str">
        <x:v>Lake City Stand Sale JE Walkthrough — Assumptions &amp; Account Map</x:v>
      </x:c>
      <x:c r="B1" s="6"/>
      <x:c r="C1" s="6"/>
      <x:c r="D1" s="6"/>
      <x:c r="E1" s="6"/>
      <x:c r="F1" s="6"/>
      <x:c r="G1" s="6"/>
      <x:c r="H1" s="6"/>
    </x:row>
    <x:row r="2" ht="44" customHeight="1">
      <x:c r="A2" s="121" t="str">
        <x:v>ZIMRA-aligned operational accounting model. Deposits and instalments are treated the same: cash receipt triggers revenue/VAT release and proportional COS. This is distinct from an IFRS 15 control-transfer model.</x:v>
      </x:c>
      <x:c r="B2" s="121"/>
      <x:c r="C2" s="121"/>
      <x:c r="D2" s="121"/>
      <x:c r="E2" s="121"/>
      <x:c r="F2" s="121"/>
      <x:c r="G2" s="121"/>
      <x:c r="H2" s="121"/>
    </x:row>
    <x:row r="3" ht="44" customHeight="1">
      <x:c r="A3" s="121"/>
      <x:c r="B3" s="121"/>
      <x:c r="C3" s="121"/>
      <x:c r="D3" s="121"/>
      <x:c r="E3" s="121"/>
      <x:c r="F3" s="121"/>
      <x:c r="G3" s="121"/>
      <x:c r="H3" s="121"/>
    </x:row>
    <x:row r="4">
      <x:c r="A4" s="122"/>
      <x:c r="B4" s="122"/>
      <x:c r="C4" s="122"/>
      <x:c r="D4" s="122"/>
      <x:c r="E4" s="122"/>
      <x:c r="F4" s="122"/>
      <x:c r="G4" s="122"/>
      <x:c r="H4" s="122"/>
    </x:row>
    <x:row r="5">
      <x:c r="A5" s="123" t="str">
        <x:v>Input</x:v>
      </x:c>
      <x:c r="B5" s="124" t="str">
        <x:v>Value</x:v>
      </x:c>
      <x:c r="C5" s="124" t="str">
        <x:v>Formula / Basis</x:v>
      </x:c>
      <x:c r="D5" s="125" t="str">
        <x:v>Notes</x:v>
      </x:c>
      <x:c r="E5" s="122"/>
      <x:c r="F5" s="122"/>
      <x:c r="G5" s="122"/>
      <x:c r="H5" s="122"/>
    </x:row>
    <x:row r="6">
      <x:c r="A6" s="126" t="str">
        <x:v>Net stand price (excl. VAT)</x:v>
      </x:c>
      <x:c r="B6" s="127" t="n">
        <x:v>20000</x:v>
      </x:c>
      <x:c r="C6" s="128" t="str"/>
      <x:c r="D6" s="129" t="str">
        <x:v>Illustrative stand value before VAT</x:v>
      </x:c>
      <x:c r="E6" s="122"/>
      <x:c r="F6" s="122"/>
      <x:c r="G6" s="122"/>
      <x:c r="H6" s="122"/>
    </x:row>
    <x:row r="7">
      <x:c r="A7" s="126" t="str">
        <x:v>VAT rate</x:v>
      </x:c>
      <x:c r="B7" s="130" t="n">
        <x:v>0.155</x:v>
      </x:c>
      <x:c r="C7" s="128" t="str"/>
      <x:c r="D7" s="129" t="str">
        <x:v>VAT rate used in walkthrough</x:v>
      </x:c>
      <x:c r="E7" s="122"/>
      <x:c r="F7" s="122"/>
      <x:c r="G7" s="122"/>
      <x:c r="H7" s="122"/>
    </x:row>
    <x:row r="8">
      <x:c r="A8" s="126" t="str">
        <x:v>VAT on contract</x:v>
      </x:c>
      <x:c r="B8" s="127" t="n">
        <x:f>B6*B7</x:f>
        <x:v>3100</x:v>
      </x:c>
      <x:c r="C8" s="128" t="str">
        <x:v>Net price × VAT rate</x:v>
      </x:c>
      <x:c r="D8" s="129" t="str">
        <x:v>VAT on full net contract</x:v>
      </x:c>
      <x:c r="E8" s="122"/>
      <x:c r="F8" s="122"/>
      <x:c r="G8" s="122"/>
      <x:c r="H8" s="122"/>
    </x:row>
    <x:row r="9">
      <x:c r="A9" s="126" t="str">
        <x:v>Gross contract value</x:v>
      </x:c>
      <x:c r="B9" s="127" t="n">
        <x:f>B6+B8</x:f>
        <x:v>23100</x:v>
      </x:c>
      <x:c r="C9" s="128" t="str">
        <x:v>Net price + VAT</x:v>
      </x:c>
      <x:c r="D9" s="129" t="str">
        <x:v>Customer receivable at contract inception</x:v>
      </x:c>
      <x:c r="E9" s="122"/>
      <x:c r="F9" s="122"/>
      <x:c r="G9" s="122"/>
      <x:c r="H9" s="122"/>
    </x:row>
    <x:row r="10">
      <x:c r="A10" s="126" t="str">
        <x:v>Deposit / first payment — net portion</x:v>
      </x:c>
      <x:c r="B10" s="127" t="n">
        <x:v>2000</x:v>
      </x:c>
      <x:c r="C10" s="128" t="str"/>
      <x:c r="D10" s="129" t="str">
        <x:v>Deposit treated as first instalment</x:v>
      </x:c>
      <x:c r="E10" s="122"/>
      <x:c r="F10" s="122"/>
      <x:c r="G10" s="122"/>
      <x:c r="H10" s="122"/>
    </x:row>
    <x:row r="11">
      <x:c r="A11" s="126" t="str">
        <x:v>Deposit / first payment — VAT portion</x:v>
      </x:c>
      <x:c r="B11" s="127" t="n">
        <x:f>B10*$B$7</x:f>
        <x:v>310</x:v>
      </x:c>
      <x:c r="C11" s="128" t="str">
        <x:v>Deposit net × VAT rate</x:v>
      </x:c>
      <x:c r="D11" s="129" t="str">
        <x:v>VAT component triggered when deposit is paid</x:v>
      </x:c>
      <x:c r="E11" s="122"/>
      <x:c r="F11" s="122"/>
      <x:c r="G11" s="122"/>
      <x:c r="H11" s="122"/>
    </x:row>
    <x:row r="12">
      <x:c r="A12" s="126" t="str">
        <x:v>Deposit / first payment — gross receipt</x:v>
      </x:c>
      <x:c r="B12" s="127" t="n">
        <x:f>B10+B11</x:f>
        <x:v>2310</x:v>
      </x:c>
      <x:c r="C12" s="128" t="str">
        <x:v>Deposit net + deposit VAT</x:v>
      </x:c>
      <x:c r="D12" s="129" t="str">
        <x:v>Cash received on deposit</x:v>
      </x:c>
      <x:c r="E12" s="122"/>
      <x:c r="F12" s="122"/>
      <x:c r="G12" s="122"/>
      <x:c r="H12" s="122"/>
    </x:row>
    <x:row r="13">
      <x:c r="A13" s="126" t="str">
        <x:v>Monthly instalment — net portion</x:v>
      </x:c>
      <x:c r="B13" s="127" t="n">
        <x:v>1000</x:v>
      </x:c>
      <x:c r="C13" s="128" t="str"/>
      <x:c r="D13" s="129" t="str">
        <x:v>Net revenue component per monthly payment</x:v>
      </x:c>
      <x:c r="E13" s="122"/>
      <x:c r="F13" s="122"/>
      <x:c r="G13" s="122"/>
      <x:c r="H13" s="122"/>
    </x:row>
    <x:row r="14">
      <x:c r="A14" s="126" t="str">
        <x:v>Monthly instalment — VAT portion</x:v>
      </x:c>
      <x:c r="B14" s="127" t="n">
        <x:f>B13*$B$7</x:f>
        <x:v>155</x:v>
      </x:c>
      <x:c r="C14" s="128" t="str">
        <x:v>Monthly net × VAT rate</x:v>
      </x:c>
      <x:c r="D14" s="129" t="str">
        <x:v>VAT component triggered when instalment is paid</x:v>
      </x:c>
      <x:c r="E14" s="122"/>
      <x:c r="F14" s="122"/>
      <x:c r="G14" s="122"/>
      <x:c r="H14" s="122"/>
    </x:row>
    <x:row r="15">
      <x:c r="A15" s="126" t="str">
        <x:v>Monthly instalment — gross receipt</x:v>
      </x:c>
      <x:c r="B15" s="127" t="n">
        <x:f>B13+B14</x:f>
        <x:v>1155</x:v>
      </x:c>
      <x:c r="C15" s="128" t="str">
        <x:v>Monthly net + monthly VAT</x:v>
      </x:c>
      <x:c r="D15" s="129" t="str">
        <x:v>Cash received per monthly instalment</x:v>
      </x:c>
      <x:c r="E15" s="122"/>
      <x:c r="F15" s="122"/>
      <x:c r="G15" s="122"/>
      <x:c r="H15" s="122"/>
    </x:row>
    <x:row r="16">
      <x:c r="A16" s="126" t="str">
        <x:v>Number of monthly instalments after deposit</x:v>
      </x:c>
      <x:c r="B16" s="127" t="n">
        <x:v>18</x:v>
      </x:c>
      <x:c r="C16" s="128" t="str"/>
      <x:c r="D16" s="129" t="str">
        <x:v>18 instalments of $1,000 net + VAT</x:v>
      </x:c>
      <x:c r="E16" s="122"/>
      <x:c r="F16" s="122"/>
      <x:c r="G16" s="122"/>
      <x:c r="H16" s="122"/>
    </x:row>
    <x:row r="17">
      <x:c r="A17" s="126" t="str">
        <x:v>Stand cost from Stand Cost Master</x:v>
      </x:c>
      <x:c r="B17" s="127" t="n">
        <x:v>8000</x:v>
      </x:c>
      <x:c r="C17" s="128" t="str"/>
      <x:c r="D17" s="129" t="str">
        <x:v>Illustrative cost used for proportional COS</x:v>
      </x:c>
      <x:c r="E17" s="122"/>
      <x:c r="F17" s="122"/>
      <x:c r="G17" s="122"/>
      <x:c r="H17" s="122"/>
    </x:row>
    <x:row r="18">
      <x:c r="A18" s="126" t="str">
        <x:v>Deposit COS</x:v>
      </x:c>
      <x:c r="B18" s="127" t="n">
        <x:f>B17*(B10/B6)</x:f>
        <x:v>800</x:v>
      </x:c>
      <x:c r="C18" s="128" t="str">
        <x:v>Stand cost × deposit net / net contract price</x:v>
      </x:c>
      <x:c r="D18" s="129" t="str">
        <x:v>Cost released on deposit</x:v>
      </x:c>
      <x:c r="E18" s="122"/>
      <x:c r="F18" s="122"/>
      <x:c r="G18" s="122"/>
      <x:c r="H18" s="122"/>
    </x:row>
    <x:row r="19">
      <x:c r="A19" s="131" t="str">
        <x:v>Monthly COS</x:v>
      </x:c>
      <x:c r="B19" s="132" t="n">
        <x:f>B17*(B13/B6)</x:f>
        <x:v>400</x:v>
      </x:c>
      <x:c r="C19" s="133" t="str">
        <x:v>Stand cost × monthly net / net contract price</x:v>
      </x:c>
      <x:c r="D19" s="134" t="str">
        <x:v>Cost released per monthly instalment</x:v>
      </x:c>
      <x:c r="E19" s="122"/>
      <x:c r="F19" s="122"/>
      <x:c r="G19" s="122"/>
      <x:c r="H19" s="122"/>
    </x:row>
    <x:row r="20">
      <x:c r="A20" s="122"/>
      <x:c r="B20" s="122"/>
      <x:c r="C20" s="122"/>
      <x:c r="D20" s="122"/>
      <x:c r="E20" s="122"/>
      <x:c r="F20" s="122"/>
      <x:c r="G20" s="122"/>
      <x:c r="H20" s="122"/>
    </x:row>
    <x:row r="21">
      <x:c r="A21" s="135" t="str">
        <x:v>Account Map — exact account codes/names used in the walkthrough</x:v>
      </x:c>
      <x:c r="B21" s="135"/>
      <x:c r="C21" s="135"/>
      <x:c r="D21" s="135"/>
      <x:c r="E21" s="135"/>
      <x:c r="F21" s="135"/>
      <x:c r="G21" s="135"/>
      <x:c r="H21" s="135"/>
    </x:row>
    <x:row r="22">
      <x:c r="A22" s="123" t="str">
        <x:v>Code</x:v>
      </x:c>
      <x:c r="B22" s="124" t="str">
        <x:v>Account Name</x:v>
      </x:c>
      <x:c r="C22" s="124" t="str">
        <x:v>Type</x:v>
      </x:c>
      <x:c r="D22" s="124" t="str">
        <x:v>Use</x:v>
      </x:c>
      <x:c r="E22" s="124" t="str">
        <x:v>Normal Balance</x:v>
      </x:c>
      <x:c r="F22" s="124" t="str">
        <x:v>Step(s)</x:v>
      </x:c>
      <x:c r="G22" s="124" t="str">
        <x:v>IFRS/Tax Note</x:v>
      </x:c>
      <x:c r="H22" s="125" t="str">
        <x:v>Comments</x:v>
      </x:c>
    </x:row>
    <x:row r="23">
      <x:c r="A23" s="126" t="str">
        <x:v>101410</x:v>
      </x:c>
      <x:c r="B23" s="128" t="str">
        <x:v>CABS - Main USD Current Account - 1129888509</x:v>
      </x:c>
      <x:c r="C23" s="128" t="str">
        <x:v>Bank and Cash</x:v>
      </x:c>
      <x:c r="D23" s="128" t="str">
        <x:v>Illustrative bank account for receipts/payments</x:v>
      </x:c>
      <x:c r="E23" s="128" t="str">
        <x:v>Debit</x:v>
      </x:c>
      <x:c r="F23" s="128" t="str">
        <x:v>Receipts / VAT remittance</x:v>
      </x:c>
      <x:c r="G23" s="128" t="str">
        <x:v>Liquidity account</x:v>
      </x:c>
      <x:c r="H23" s="129" t="str">
        <x:v>Substitute with actual bank/cash/Ecocash journal used.</x:v>
      </x:c>
    </x:row>
    <x:row r="24">
      <x:c r="A24" s="126" t="str">
        <x:v>121000</x:v>
      </x:c>
      <x:c r="B24" s="128" t="str">
        <x:v>Account Receivable</x:v>
      </x:c>
      <x:c r="C24" s="128" t="str">
        <x:v>Receivable</x:v>
      </x:c>
      <x:c r="D24" s="128" t="str">
        <x:v>Gross customer receivable at contract inception and settlement</x:v>
      </x:c>
      <x:c r="E24" s="128" t="str">
        <x:v>Debit</x:v>
      </x:c>
      <x:c r="F24" s="128" t="str">
        <x:v>Initial / payments / default</x:v>
      </x:c>
      <x:c r="G24" s="128" t="str">
        <x:v>Operational/ZIMRA-aligned customer balance</x:v>
      </x:c>
      <x:c r="H24" s="129" t="str">
        <x:v>Partner and stand number carry detail.</x:v>
      </x:c>
    </x:row>
    <x:row r="25">
      <x:c r="A25" s="126" t="str">
        <x:v>212010</x:v>
      </x:c>
      <x:c r="B25" s="128" t="str">
        <x:v>Contract Liabilities - Customer Deposits / Instalments</x:v>
      </x:c>
      <x:c r="C25" s="128" t="str">
        <x:v>Current Liabilities</x:v>
      </x:c>
      <x:c r="D25" s="128" t="str">
        <x:v>Net contract value not yet released to revenue</x:v>
      </x:c>
      <x:c r="E25" s="128" t="str">
        <x:v>Credit</x:v>
      </x:c>
      <x:c r="F25" s="128" t="str">
        <x:v>Initial / revenue release / forfeiture</x:v>
      </x:c>
      <x:c r="G25" s="128" t="str">
        <x:v>Excludes VAT</x:v>
      </x:c>
      <x:c r="H25" s="129" t="str">
        <x:v>Do not mix with VAT.</x:v>
      </x:c>
    </x:row>
    <x:row r="26">
      <x:c r="A26" s="126" t="str">
        <x:v>251020</x:v>
      </x:c>
      <x:c r="B26" s="128" t="str">
        <x:v>Deferred Output VAT</x:v>
      </x:c>
      <x:c r="C26" s="128" t="str">
        <x:v>Current Liabilities</x:v>
      </x:c>
      <x:c r="D26" s="128" t="str">
        <x:v>VAT included in contract but not yet due to ZIMRA</x:v>
      </x:c>
      <x:c r="E26" s="128" t="str">
        <x:v>Credit</x:v>
      </x:c>
      <x:c r="F26" s="128" t="str">
        <x:v>Initial / VAT release / default</x:v>
      </x:c>
      <x:c r="G26" s="128" t="str">
        <x:v>VAT timing control account</x:v>
      </x:c>
      <x:c r="H26" s="129" t="str">
        <x:v>Renamed from VAT Timing Difference - Stand Sales.</x:v>
      </x:c>
    </x:row>
    <x:row r="27">
      <x:c r="A27" s="126" t="str">
        <x:v>251010</x:v>
      </x:c>
      <x:c r="B27" s="128" t="str">
        <x:v>VAT Output - ZIMRA</x:v>
      </x:c>
      <x:c r="C27" s="128" t="str">
        <x:v>Current Liabilities</x:v>
      </x:c>
      <x:c r="D27" s="128" t="str">
        <x:v>VAT triggered and payable/remittable</x:v>
      </x:c>
      <x:c r="E27" s="128" t="str">
        <x:v>Credit</x:v>
      </x:c>
      <x:c r="F27" s="128" t="str">
        <x:v>Payment / remittance</x:v>
      </x:c>
      <x:c r="G27" s="128" t="str">
        <x:v>ZIMRA output VAT liability</x:v>
      </x:c>
      <x:c r="H27" s="129" t="str">
        <x:v>Cleared on VAT payment.</x:v>
      </x:c>
    </x:row>
    <x:row r="28">
      <x:c r="A28" s="126" t="str">
        <x:v>401000</x:v>
      </x:c>
      <x:c r="B28" s="128" t="str">
        <x:v>Revenue - Residential Stand Sales</x:v>
      </x:c>
      <x:c r="C28" s="128" t="str">
        <x:v>Income</x:v>
      </x:c>
      <x:c r="D28" s="128" t="str">
        <x:v>Revenue released as payments are received</x:v>
      </x:c>
      <x:c r="E28" s="128" t="str">
        <x:v>Credit</x:v>
      </x:c>
      <x:c r="F28" s="128" t="str">
        <x:v>Deposit/monthly/final</x:v>
      </x:c>
      <x:c r="G28" s="128" t="str">
        <x:v>ZIMRA-aligned; not IFRS 15 clean if control transfers only at full payment</x:v>
      </x:c>
      <x:c r="H28" s="129" t="str">
        <x:v>Use for residential stands.</x:v>
      </x:c>
    </x:row>
    <x:row r="29">
      <x:c r="A29" s="126" t="str">
        <x:v>110110</x:v>
      </x:c>
      <x:c r="B29" s="128" t="str">
        <x:v>Inventory - Residential Stands Available</x:v>
      </x:c>
      <x:c r="C29" s="128" t="str">
        <x:v>Current Assets</x:v>
      </x:c>
      <x:c r="D29" s="128" t="str">
        <x:v>Available stand inventory</x:v>
      </x:c>
      <x:c r="E29" s="128" t="str">
        <x:v>Debit</x:v>
      </x:c>
      <x:c r="F29" s="128" t="str">
        <x:v>Initial optional reclass</x:v>
      </x:c>
      <x:c r="G29" s="128" t="str">
        <x:v>Inventory control</x:v>
      </x:c>
      <x:c r="H29" s="129" t="str">
        <x:v>Used before allocation.</x:v>
      </x:c>
    </x:row>
    <x:row r="30">
      <x:c r="A30" s="126" t="str">
        <x:v>110120</x:v>
      </x:c>
      <x:c r="B30" s="128" t="str">
        <x:v>Inventory - Active Allocated Stands</x:v>
      </x:c>
      <x:c r="C30" s="128" t="str">
        <x:v>Current Assets</x:v>
      </x:c>
      <x:c r="D30" s="128" t="str">
        <x:v>Inventory cost of stands allocated to customers</x:v>
      </x:c>
      <x:c r="E30" s="128" t="str">
        <x:v>Debit</x:v>
      </x:c>
      <x:c r="F30" s="128" t="str">
        <x:v>Initial reclass / COS</x:v>
      </x:c>
      <x:c r="G30" s="128" t="str">
        <x:v>Inventory control</x:v>
      </x:c>
      <x:c r="H30" s="129" t="str">
        <x:v>Subledger must show stand-level costs.</x:v>
      </x:c>
    </x:row>
    <x:row r="31">
      <x:c r="A31" s="126" t="str">
        <x:v>501000</x:v>
      </x:c>
      <x:c r="B31" s="128" t="str">
        <x:v>COS - Residential Stands</x:v>
      </x:c>
      <x:c r="C31" s="128" t="str">
        <x:v>Cost of Revenue</x:v>
      </x:c>
      <x:c r="D31" s="128" t="str">
        <x:v>Cost released in proportion to revenue recognized</x:v>
      </x:c>
      <x:c r="E31" s="128" t="str">
        <x:v>Debit</x:v>
      </x:c>
      <x:c r="F31" s="128" t="str">
        <x:v>COS</x:v>
      </x:c>
      <x:c r="G31" s="128" t="str">
        <x:v>Matching cost for ZIMRA-aligned model</x:v>
      </x:c>
      <x:c r="H31" s="129" t="str">
        <x:v>Driven by stand cost master.</x:v>
      </x:c>
    </x:row>
    <x:row r="32">
      <x:c r="A32" s="126" t="str">
        <x:v>406000</x:v>
      </x:c>
      <x:c r="B32" s="128" t="str">
        <x:v>Forfeited Customer Balances Income</x:v>
      </x:c>
      <x:c r="C32" s="128" t="str">
        <x:v>Income</x:v>
      </x:c>
      <x:c r="D32" s="128" t="str">
        <x:v>Amounts retained after approved forfeiture</x:v>
      </x:c>
      <x:c r="E32" s="128" t="str">
        <x:v>Credit</x:v>
      </x:c>
      <x:c r="F32" s="128" t="str">
        <x:v>Forfeiture</x:v>
      </x:c>
      <x:c r="G32" s="128" t="str">
        <x:v>Forfeiture income, not stand sale revenue</x:v>
      </x:c>
      <x:c r="H32" s="129" t="str">
        <x:v>VAT treatment depends on ZIMRA.</x:v>
      </x:c>
    </x:row>
    <x:row r="33">
      <x:c r="A33" s="126" t="str">
        <x:v>213010</x:v>
      </x:c>
      <x:c r="B33" s="128" t="str">
        <x:v>AOS Fees Payable - Chigwanda Legal Practitioners</x:v>
      </x:c>
      <x:c r="C33" s="128" t="str">
        <x:v>Current Liabilities</x:v>
      </x:c>
      <x:c r="D33" s="128" t="str">
        <x:v>Pass-through AOS fees</x:v>
      </x:c>
      <x:c r="E33" s="128" t="str">
        <x:v>Credit</x:v>
      </x:c>
      <x:c r="F33" s="128" t="str">
        <x:v>AOS</x:v>
      </x:c>
      <x:c r="G33" s="128" t="str">
        <x:v>Not Lake City revenue</x:v>
      </x:c>
      <x:c r="H33" s="129" t="str">
        <x:v>No entry if customer pays Chigwanda directly.</x:v>
      </x:c>
    </x:row>
    <x:row r="34">
      <x:c r="A34" s="131" t="str">
        <x:v>213020</x:v>
      </x:c>
      <x:c r="B34" s="133" t="str">
        <x:v>Conveyancing Fees Payable</x:v>
      </x:c>
      <x:c r="C34" s="133" t="str">
        <x:v>Current Liabilities</x:v>
      </x:c>
      <x:c r="D34" s="133" t="str">
        <x:v>Pass-through conveyancing/statutory fees</x:v>
      </x:c>
      <x:c r="E34" s="133" t="str">
        <x:v>Credit</x:v>
      </x:c>
      <x:c r="F34" s="133" t="str">
        <x:v>Conveyancing</x:v>
      </x:c>
      <x:c r="G34" s="133" t="str">
        <x:v>Not Lake City revenue</x:v>
      </x:c>
      <x:c r="H34" s="134" t="str">
        <x:v>Use statutory payable if separated.</x:v>
      </x:c>
    </x:row>
    <x:row r="35">
      <x:c r="A35" s="122"/>
      <x:c r="B35" s="122"/>
      <x:c r="C35" s="122"/>
      <x:c r="D35" s="122"/>
      <x:c r="E35" s="122"/>
      <x:c r="F35" s="122"/>
      <x:c r="G35" s="122"/>
      <x:c r="H35" s="122"/>
    </x:row>
    <x:row r="36">
      <x:c r="A36" s="122"/>
      <x:c r="B36" s="122"/>
      <x:c r="C36" s="122"/>
      <x:c r="D36" s="122"/>
      <x:c r="E36" s="122"/>
      <x:c r="F36" s="122"/>
      <x:c r="G36" s="122"/>
      <x:c r="H36" s="122"/>
    </x:row>
    <x:row r="37">
      <x:c r="A37" s="122"/>
      <x:c r="B37" s="122"/>
      <x:c r="C37" s="122"/>
      <x:c r="D37" s="122"/>
      <x:c r="E37" s="122"/>
      <x:c r="F37" s="122"/>
      <x:c r="G37" s="122"/>
      <x:c r="H37" s="122"/>
    </x:row>
    <x:row r="38">
      <x:c r="A38" s="122"/>
      <x:c r="B38" s="122"/>
      <x:c r="C38" s="122"/>
      <x:c r="D38" s="122"/>
      <x:c r="E38" s="122"/>
      <x:c r="F38" s="122"/>
      <x:c r="G38" s="122"/>
      <x:c r="H38" s="122"/>
    </x:row>
    <x:row r="39">
      <x:c r="A39" s="122"/>
      <x:c r="B39" s="122"/>
      <x:c r="C39" s="122"/>
      <x:c r="D39" s="122"/>
      <x:c r="E39" s="122"/>
      <x:c r="F39" s="122"/>
      <x:c r="G39" s="122"/>
      <x:c r="H39" s="122"/>
    </x:row>
    <x:row r="40">
      <x:c r="A40" s="122"/>
      <x:c r="B40" s="122"/>
      <x:c r="C40" s="122"/>
      <x:c r="D40" s="122"/>
      <x:c r="E40" s="122"/>
      <x:c r="F40" s="122"/>
      <x:c r="G40" s="122"/>
      <x:c r="H40" s="122"/>
    </x:row>
    <x:row r="41">
      <x:c r="A41" s="122"/>
      <x:c r="B41" s="122"/>
      <x:c r="C41" s="122"/>
      <x:c r="D41" s="122"/>
      <x:c r="E41" s="122"/>
      <x:c r="F41" s="122"/>
      <x:c r="G41" s="122"/>
      <x:c r="H41" s="122"/>
    </x:row>
    <x:row r="42">
      <x:c r="A42" s="122"/>
      <x:c r="B42" s="122"/>
      <x:c r="C42" s="122"/>
      <x:c r="D42" s="122"/>
      <x:c r="E42" s="122"/>
      <x:c r="F42" s="122"/>
      <x:c r="G42" s="122"/>
      <x:c r="H42" s="122"/>
    </x:row>
    <x:row r="43">
      <x:c r="A43" s="122"/>
      <x:c r="B43" s="122"/>
      <x:c r="C43" s="122"/>
      <x:c r="D43" s="122"/>
      <x:c r="E43" s="122"/>
      <x:c r="F43" s="122"/>
      <x:c r="G43" s="122"/>
      <x:c r="H43" s="122"/>
    </x:row>
    <x:row r="44">
      <x:c r="A44" s="122"/>
      <x:c r="B44" s="122"/>
      <x:c r="C44" s="122"/>
      <x:c r="D44" s="122"/>
      <x:c r="E44" s="122"/>
      <x:c r="F44" s="122"/>
      <x:c r="G44" s="122"/>
      <x:c r="H44" s="122"/>
    </x:row>
    <x:row r="45">
      <x:c r="A45" s="122"/>
      <x:c r="B45" s="122"/>
      <x:c r="C45" s="122"/>
      <x:c r="D45" s="122"/>
      <x:c r="E45" s="122"/>
      <x:c r="F45" s="122"/>
      <x:c r="G45" s="122"/>
      <x:c r="H45" s="122"/>
    </x:row>
    <x:row r="46">
      <x:c r="A46" s="122"/>
      <x:c r="B46" s="122"/>
      <x:c r="C46" s="122"/>
      <x:c r="D46" s="122"/>
      <x:c r="E46" s="122"/>
      <x:c r="F46" s="122"/>
      <x:c r="G46" s="122"/>
      <x:c r="H46" s="122"/>
    </x:row>
    <x:row r="47">
      <x:c r="A47" s="122"/>
      <x:c r="B47" s="122"/>
      <x:c r="C47" s="122"/>
      <x:c r="D47" s="122"/>
      <x:c r="E47" s="122"/>
      <x:c r="F47" s="122"/>
      <x:c r="G47" s="122"/>
      <x:c r="H47" s="122"/>
    </x:row>
    <x:row r="48">
      <x:c r="A48" s="122"/>
      <x:c r="B48" s="122"/>
      <x:c r="C48" s="122"/>
      <x:c r="D48" s="122"/>
      <x:c r="E48" s="122"/>
      <x:c r="F48" s="122"/>
      <x:c r="G48" s="122"/>
      <x:c r="H48" s="122"/>
    </x:row>
    <x:row r="49">
      <x:c r="A49" s="122"/>
      <x:c r="B49" s="122"/>
      <x:c r="C49" s="122"/>
      <x:c r="D49" s="122"/>
      <x:c r="E49" s="122"/>
      <x:c r="F49" s="122"/>
      <x:c r="G49" s="122"/>
      <x:c r="H49" s="122"/>
    </x:row>
    <x:row r="50">
      <x:c r="A50" s="122"/>
      <x:c r="B50" s="122"/>
      <x:c r="C50" s="122"/>
      <x:c r="D50" s="122"/>
      <x:c r="E50" s="122"/>
      <x:c r="F50" s="122"/>
      <x:c r="G50" s="122"/>
      <x:c r="H50" s="122"/>
    </x:row>
    <x:row r="51">
      <x:c r="A51" s="122"/>
      <x:c r="B51" s="122"/>
      <x:c r="C51" s="122"/>
      <x:c r="D51" s="122"/>
      <x:c r="E51" s="122"/>
      <x:c r="F51" s="122"/>
      <x:c r="G51" s="122"/>
      <x:c r="H51" s="122"/>
    </x:row>
    <x:row r="52">
      <x:c r="A52" s="122"/>
      <x:c r="B52" s="122"/>
      <x:c r="C52" s="122"/>
      <x:c r="D52" s="122"/>
      <x:c r="E52" s="122"/>
      <x:c r="F52" s="122"/>
      <x:c r="G52" s="122"/>
      <x:c r="H52" s="122"/>
    </x:row>
    <x:row r="53">
      <x:c r="A53" s="122"/>
      <x:c r="B53" s="122"/>
      <x:c r="C53" s="122"/>
      <x:c r="D53" s="122"/>
      <x:c r="E53" s="122"/>
      <x:c r="F53" s="122"/>
      <x:c r="G53" s="122"/>
      <x:c r="H53" s="122"/>
    </x:row>
    <x:row r="54">
      <x:c r="A54" s="122"/>
      <x:c r="B54" s="122"/>
      <x:c r="C54" s="122"/>
      <x:c r="D54" s="122"/>
      <x:c r="E54" s="122"/>
      <x:c r="F54" s="122"/>
      <x:c r="G54" s="122"/>
      <x:c r="H54" s="122"/>
    </x:row>
    <x:row r="55">
      <x:c r="A55" s="122"/>
      <x:c r="B55" s="122"/>
      <x:c r="C55" s="122"/>
      <x:c r="D55" s="122"/>
      <x:c r="E55" s="122"/>
      <x:c r="F55" s="122"/>
      <x:c r="G55" s="122"/>
      <x:c r="H55" s="122"/>
    </x:row>
    <x:row r="56">
      <x:c r="A56" s="122"/>
      <x:c r="B56" s="122"/>
      <x:c r="C56" s="122"/>
      <x:c r="D56" s="122"/>
      <x:c r="E56" s="122"/>
      <x:c r="F56" s="122"/>
      <x:c r="G56" s="122"/>
      <x:c r="H56" s="122"/>
    </x:row>
    <x:row r="57">
      <x:c r="A57" s="122"/>
      <x:c r="B57" s="122"/>
      <x:c r="C57" s="122"/>
      <x:c r="D57" s="122"/>
      <x:c r="E57" s="122"/>
      <x:c r="F57" s="122"/>
      <x:c r="G57" s="122"/>
      <x:c r="H57" s="122"/>
    </x:row>
    <x:row r="58">
      <x:c r="A58" s="122"/>
      <x:c r="B58" s="122"/>
      <x:c r="C58" s="122"/>
      <x:c r="D58" s="122"/>
      <x:c r="E58" s="122"/>
      <x:c r="F58" s="122"/>
      <x:c r="G58" s="122"/>
      <x:c r="H58" s="122"/>
    </x:row>
    <x:row r="59">
      <x:c r="A59" s="122"/>
      <x:c r="B59" s="122"/>
      <x:c r="C59" s="122"/>
      <x:c r="D59" s="122"/>
      <x:c r="E59" s="122"/>
      <x:c r="F59" s="122"/>
      <x:c r="G59" s="122"/>
      <x:c r="H59" s="122"/>
    </x:row>
    <x:row r="60">
      <x:c r="A60" s="122"/>
      <x:c r="B60" s="122"/>
      <x:c r="C60" s="122"/>
      <x:c r="D60" s="122"/>
      <x:c r="E60" s="122"/>
      <x:c r="F60" s="122"/>
      <x:c r="G60" s="122"/>
      <x:c r="H60" s="122"/>
    </x:row>
    <x:row r="61">
      <x:c r="A61" s="122"/>
      <x:c r="B61" s="122"/>
      <x:c r="C61" s="122"/>
      <x:c r="D61" s="122"/>
      <x:c r="E61" s="122"/>
      <x:c r="F61" s="122"/>
      <x:c r="G61" s="122"/>
      <x:c r="H61" s="122"/>
    </x:row>
    <x:row r="62">
      <x:c r="A62" s="122"/>
      <x:c r="B62" s="122"/>
      <x:c r="C62" s="122"/>
      <x:c r="D62" s="122"/>
      <x:c r="E62" s="122"/>
      <x:c r="F62" s="122"/>
      <x:c r="G62" s="122"/>
      <x:c r="H62" s="122"/>
    </x:row>
    <x:row r="63">
      <x:c r="A63" s="122"/>
      <x:c r="B63" s="122"/>
      <x:c r="C63" s="122"/>
      <x:c r="D63" s="122"/>
      <x:c r="E63" s="122"/>
      <x:c r="F63" s="122"/>
      <x:c r="G63" s="122"/>
      <x:c r="H63" s="122"/>
    </x:row>
    <x:row r="64">
      <x:c r="A64" s="122"/>
      <x:c r="B64" s="122"/>
      <x:c r="C64" s="122"/>
      <x:c r="D64" s="122"/>
      <x:c r="E64" s="122"/>
      <x:c r="F64" s="122"/>
      <x:c r="G64" s="122"/>
      <x:c r="H64" s="122"/>
    </x:row>
    <x:row r="65">
      <x:c r="A65" s="122"/>
      <x:c r="B65" s="122"/>
      <x:c r="C65" s="122"/>
      <x:c r="D65" s="122"/>
      <x:c r="E65" s="122"/>
      <x:c r="F65" s="122"/>
      <x:c r="G65" s="122"/>
      <x:c r="H65" s="122"/>
    </x:row>
    <x:row r="66">
      <x:c r="A66" s="122"/>
      <x:c r="B66" s="122"/>
      <x:c r="C66" s="122"/>
      <x:c r="D66" s="122"/>
      <x:c r="E66" s="122"/>
      <x:c r="F66" s="122"/>
      <x:c r="G66" s="122"/>
      <x:c r="H66" s="122"/>
    </x:row>
    <x:row r="67">
      <x:c r="A67" s="122"/>
      <x:c r="B67" s="122"/>
      <x:c r="C67" s="122"/>
      <x:c r="D67" s="122"/>
      <x:c r="E67" s="122"/>
      <x:c r="F67" s="122"/>
      <x:c r="G67" s="122"/>
      <x:c r="H67" s="122"/>
    </x:row>
    <x:row r="68">
      <x:c r="A68" s="122"/>
      <x:c r="B68" s="122"/>
      <x:c r="C68" s="122"/>
      <x:c r="D68" s="122"/>
      <x:c r="E68" s="122"/>
      <x:c r="F68" s="122"/>
      <x:c r="G68" s="122"/>
      <x:c r="H68" s="122"/>
    </x:row>
    <x:row r="69">
      <x:c r="A69" s="122"/>
      <x:c r="B69" s="122"/>
      <x:c r="C69" s="122"/>
      <x:c r="D69" s="122"/>
      <x:c r="E69" s="122"/>
      <x:c r="F69" s="122"/>
      <x:c r="G69" s="122"/>
      <x:c r="H69" s="122"/>
    </x:row>
    <x:row r="70">
      <x:c r="A70" s="122"/>
      <x:c r="B70" s="122"/>
      <x:c r="C70" s="122"/>
      <x:c r="D70" s="122"/>
      <x:c r="E70" s="122"/>
      <x:c r="F70" s="122"/>
      <x:c r="G70" s="122"/>
      <x:c r="H70" s="122"/>
    </x:row>
    <x:row r="71">
      <x:c r="A71" s="122"/>
      <x:c r="B71" s="122"/>
      <x:c r="C71" s="122"/>
      <x:c r="D71" s="122"/>
      <x:c r="E71" s="122"/>
      <x:c r="F71" s="122"/>
      <x:c r="G71" s="122"/>
      <x:c r="H71" s="122"/>
    </x:row>
    <x:row r="72">
      <x:c r="A72" s="122"/>
      <x:c r="B72" s="122"/>
      <x:c r="C72" s="122"/>
      <x:c r="D72" s="122"/>
      <x:c r="E72" s="122"/>
      <x:c r="F72" s="122"/>
      <x:c r="G72" s="122"/>
      <x:c r="H72" s="122"/>
    </x:row>
    <x:row r="73">
      <x:c r="A73" s="122"/>
      <x:c r="B73" s="122"/>
      <x:c r="C73" s="122"/>
      <x:c r="D73" s="122"/>
      <x:c r="E73" s="122"/>
      <x:c r="F73" s="122"/>
      <x:c r="G73" s="122"/>
      <x:c r="H73" s="122"/>
    </x:row>
    <x:row r="74">
      <x:c r="A74" s="122"/>
      <x:c r="B74" s="122"/>
      <x:c r="C74" s="122"/>
      <x:c r="D74" s="122"/>
      <x:c r="E74" s="122"/>
      <x:c r="F74" s="122"/>
      <x:c r="G74" s="122"/>
      <x:c r="H74" s="122"/>
    </x:row>
    <x:row r="75">
      <x:c r="A75" s="122"/>
      <x:c r="B75" s="122"/>
      <x:c r="C75" s="122"/>
      <x:c r="D75" s="122"/>
      <x:c r="E75" s="122"/>
      <x:c r="F75" s="122"/>
      <x:c r="G75" s="122"/>
      <x:c r="H75" s="122"/>
    </x:row>
    <x:row r="76">
      <x:c r="A76" s="122"/>
      <x:c r="B76" s="122"/>
      <x:c r="C76" s="122"/>
      <x:c r="D76" s="122"/>
      <x:c r="E76" s="122"/>
      <x:c r="F76" s="122"/>
      <x:c r="G76" s="122"/>
      <x:c r="H76" s="122"/>
    </x:row>
    <x:row r="77">
      <x:c r="A77" s="122"/>
      <x:c r="B77" s="122"/>
      <x:c r="C77" s="122"/>
      <x:c r="D77" s="122"/>
      <x:c r="E77" s="122"/>
      <x:c r="F77" s="122"/>
      <x:c r="G77" s="122"/>
      <x:c r="H77" s="122"/>
    </x:row>
    <x:row r="78">
      <x:c r="A78" s="122"/>
      <x:c r="B78" s="122"/>
      <x:c r="C78" s="122"/>
      <x:c r="D78" s="122"/>
      <x:c r="E78" s="122"/>
      <x:c r="F78" s="122"/>
      <x:c r="G78" s="122"/>
      <x:c r="H78" s="122"/>
    </x:row>
    <x:row r="79">
      <x:c r="A79" s="122"/>
      <x:c r="B79" s="122"/>
      <x:c r="C79" s="122"/>
      <x:c r="D79" s="122"/>
      <x:c r="E79" s="122"/>
      <x:c r="F79" s="122"/>
      <x:c r="G79" s="122"/>
      <x:c r="H79" s="122"/>
    </x:row>
    <x:row r="80">
      <x:c r="A80" s="122"/>
      <x:c r="B80" s="122"/>
      <x:c r="C80" s="122"/>
      <x:c r="D80" s="122"/>
      <x:c r="E80" s="122"/>
      <x:c r="F80" s="122"/>
      <x:c r="G80" s="122"/>
      <x:c r="H80" s="122"/>
    </x:row>
  </x:sheetData>
  <x:mergeCells>
    <x:mergeCell ref="A1:H1"/>
    <x:mergeCell ref="A2:H3"/>
    <x:mergeCell ref="A21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14" hidden="0" customWidth="1"/>
    <x:col min="4" max="4" width="38" hidden="0" customWidth="1"/>
    <x:col min="5" max="5" width="14" hidden="0" customWidth="1"/>
    <x:col min="6" max="6" width="14" hidden="0" customWidth="1"/>
    <x:col min="7" max="7" width="48" hidden="0" customWidth="1"/>
    <x:col min="8" max="8" width="26" hidden="0" customWidth="1"/>
  </x:cols>
  <x:sheetData>
    <x:row r="1" ht="28" customHeight="1">
      <x:c r="A1" s="6" t="str">
        <x:v>Step 1 — Initial Contract Recognition</x:v>
      </x:c>
      <x:c r="B1" s="6"/>
      <x:c r="C1" s="6"/>
      <x:c r="D1" s="6"/>
      <x:c r="E1" s="6"/>
      <x:c r="F1" s="6"/>
      <x:c r="G1" s="6"/>
      <x:c r="H1" s="6"/>
    </x:row>
    <x:row r="2" ht="44" customHeight="1">
      <x:c r="A2" s="121" t="str">
        <x:v>Recognize the gross contract receivable. Credit net stand value to contract liability and VAT to Deferred Output VAT. Do not credit VAT Output - ZIMRA on day one.</x:v>
      </x:c>
      <x:c r="B2" s="121"/>
      <x:c r="C2" s="121"/>
      <x:c r="D2" s="121"/>
      <x:c r="E2" s="121"/>
      <x:c r="F2" s="121"/>
      <x:c r="G2" s="121"/>
      <x:c r="H2" s="121"/>
    </x:row>
    <x:row r="3" ht="44" customHeight="1">
      <x:c r="A3" s="121"/>
      <x:c r="B3" s="121"/>
      <x:c r="C3" s="121"/>
      <x:c r="D3" s="121"/>
      <x:c r="E3" s="121"/>
      <x:c r="F3" s="121"/>
      <x:c r="G3" s="121"/>
      <x:c r="H3" s="121"/>
    </x:row>
    <x:row r="4">
      <x:c r="A4" s="122"/>
      <x:c r="B4" s="122"/>
      <x:c r="C4" s="122"/>
      <x:c r="D4" s="122"/>
      <x:c r="E4" s="122"/>
      <x:c r="F4" s="122"/>
      <x:c r="G4" s="122"/>
      <x:c r="H4" s="122"/>
    </x:row>
    <x:row r="5">
      <x:c r="A5" s="135" t="str">
        <x:v>Illustrative contract</x:v>
      </x:c>
      <x:c r="B5" s="135"/>
      <x:c r="C5" s="135"/>
      <x:c r="D5" s="135"/>
      <x:c r="E5" s="122"/>
      <x:c r="F5" s="122"/>
      <x:c r="G5" s="122"/>
      <x:c r="H5" s="122"/>
    </x:row>
    <x:row r="6">
      <x:c r="A6" s="123" t="str">
        <x:v>Item</x:v>
      </x:c>
      <x:c r="B6" s="124" t="str">
        <x:v>Value</x:v>
      </x:c>
      <x:c r="C6" s="124" t="str">
        <x:v>Formula / Basis</x:v>
      </x:c>
      <x:c r="D6" s="125" t="str">
        <x:v>Comment</x:v>
      </x:c>
      <x:c r="E6" s="122"/>
      <x:c r="F6" s="122"/>
      <x:c r="G6" s="122"/>
      <x:c r="H6" s="122"/>
    </x:row>
    <x:row r="7">
      <x:c r="A7" s="126" t="str">
        <x:v>Net stand price</x:v>
      </x:c>
      <x:c r="B7" s="127" t="n">
        <x:f>'01 Assumptions'!B6</x:f>
        <x:v>20000</x:v>
      </x:c>
      <x:c r="C7" s="128" t="str">
        <x:v>Assumptions B6</x:v>
      </x:c>
      <x:c r="D7" s="129" t="str">
        <x:v>Quoted stand price excluding VAT</x:v>
      </x:c>
      <x:c r="E7" s="122"/>
      <x:c r="F7" s="122"/>
      <x:c r="G7" s="122"/>
      <x:c r="H7" s="122"/>
    </x:row>
    <x:row r="8">
      <x:c r="A8" s="131" t="str">
        <x:v>VAT on contract</x:v>
      </x:c>
      <x:c r="B8" s="132" t="n">
        <x:f>'01 Assumptions'!B8</x:f>
        <x:v>3100</x:v>
      </x:c>
      <x:c r="C8" s="133" t="str">
        <x:v>Assumptions B8</x:v>
      </x:c>
      <x:c r="D8" s="134" t="str">
        <x:v>VAT not yet all due to ZIMRA</x:v>
      </x:c>
      <x:c r="E8" s="122"/>
      <x:c r="F8" s="122"/>
      <x:c r="G8" s="122"/>
      <x:c r="H8" s="122"/>
    </x:row>
    <x:row r="9">
      <x:c r="A9" s="122" t="str">
        <x:v>Gross contract value</x:v>
      </x:c>
      <x:c r="B9" s="162" t="n">
        <x:f>'01 Assumptions'!B9</x:f>
        <x:v>23100</x:v>
      </x:c>
      <x:c r="C9" s="122" t="str">
        <x:v>Assumptions B9</x:v>
      </x:c>
      <x:c r="D9" s="122" t="str">
        <x:v>Receivable recorded at inception</x:v>
      </x:c>
      <x:c r="E9" s="122"/>
      <x:c r="F9" s="122"/>
      <x:c r="G9" s="122"/>
      <x:c r="H9" s="122"/>
    </x:row>
    <x:row r="10">
      <x:c r="A10" s="122"/>
      <x:c r="B10" s="122"/>
      <x:c r="C10" s="122"/>
      <x:c r="D10" s="122"/>
      <x:c r="E10" s="122"/>
      <x:c r="F10" s="122"/>
      <x:c r="G10" s="122"/>
      <x:c r="H10" s="122"/>
    </x:row>
    <x:row r="11">
      <x:c r="A11" s="135" t="str">
        <x:v>JE 1 — Initial contract recognition</x:v>
      </x:c>
      <x:c r="B11" s="135"/>
      <x:c r="C11" s="135"/>
      <x:c r="D11" s="135"/>
      <x:c r="E11" s="135"/>
      <x:c r="F11" s="135"/>
      <x:c r="G11" s="135"/>
      <x:c r="H11" s="135"/>
    </x:row>
    <x:row r="12">
      <x:c r="A12" s="123" t="str">
        <x:v>Date</x:v>
      </x:c>
      <x:c r="B12" s="124" t="str">
        <x:v>Debit Account</x:v>
      </x:c>
      <x:c r="C12" s="124" t="str">
        <x:v>Debit Code</x:v>
      </x:c>
      <x:c r="D12" s="124" t="str">
        <x:v>Credit Account</x:v>
      </x:c>
      <x:c r="E12" s="124" t="str">
        <x:v>Credit Code</x:v>
      </x:c>
      <x:c r="F12" s="124" t="str">
        <x:v>Debit Amount</x:v>
      </x:c>
      <x:c r="G12" s="124" t="str">
        <x:v>Credit Amount</x:v>
      </x:c>
      <x:c r="H12" s="125" t="str">
        <x:v>Narrative</x:v>
      </x:c>
    </x:row>
    <x:row r="13">
      <x:c r="A13" s="126" t="str">
        <x:v>Agreement date</x:v>
      </x:c>
      <x:c r="B13" s="128" t="str">
        <x:v>Account Receivable</x:v>
      </x:c>
      <x:c r="C13" s="128" t="str">
        <x:v>121000</x:v>
      </x:c>
      <x:c r="D13" s="128" t="str"/>
      <x:c r="E13" s="128" t="str"/>
      <x:c r="F13" s="127" t="n">
        <x:f>'01 Assumptions'!B9</x:f>
        <x:v>23100</x:v>
      </x:c>
      <x:c r="G13" s="127"/>
      <x:c r="H13" s="129" t="str">
        <x:v>Recognize gross stand contract receivable</x:v>
      </x:c>
    </x:row>
    <x:row r="14">
      <x:c r="A14" s="131" t="str">
        <x:v>Agreement date</x:v>
      </x:c>
      <x:c r="B14" s="133" t="str"/>
      <x:c r="C14" s="133" t="str"/>
      <x:c r="D14" s="133" t="str">
        <x:v>Contract Liabilities - Customer Deposits / Instalments</x:v>
      </x:c>
      <x:c r="E14" s="133" t="str">
        <x:v>212010</x:v>
      </x:c>
      <x:c r="F14" s="132"/>
      <x:c r="G14" s="132" t="n">
        <x:f>'01 Assumptions'!B6</x:f>
        <x:v>20000</x:v>
      </x:c>
      <x:c r="H14" s="134" t="str">
        <x:v>Recognize net stand value as contract liability</x:v>
      </x:c>
    </x:row>
    <x:row r="15">
      <x:c r="A15" s="122" t="str">
        <x:v>Agreement date</x:v>
      </x:c>
      <x:c r="B15" s="122" t="str"/>
      <x:c r="C15" s="122" t="str"/>
      <x:c r="D15" s="122" t="str">
        <x:v>Deferred Output VAT</x:v>
      </x:c>
      <x:c r="E15" s="122" t="str">
        <x:v>251020</x:v>
      </x:c>
      <x:c r="F15" s="162"/>
      <x:c r="G15" s="162" t="n">
        <x:f>'01 Assumptions'!B8</x:f>
        <x:v>3100</x:v>
      </x:c>
      <x:c r="H15" s="122" t="str">
        <x:v>Recognize VAT component not yet due to ZIMRA</x:v>
      </x:c>
    </x:row>
    <x:row r="16">
      <x:c r="A16" s="122"/>
      <x:c r="B16" s="122"/>
      <x:c r="C16" s="122"/>
      <x:c r="D16" s="122"/>
      <x:c r="E16" s="122"/>
      <x:c r="F16" s="122"/>
      <x:c r="G16" s="122"/>
      <x:c r="H16" s="122"/>
    </x:row>
    <x:row r="17">
      <x:c r="A17" s="121" t="str">
        <x:v>Control: This is the key VAT timing entry. Full VAT is not posted to VAT Output - ZIMRA until customer payments are received.</x:v>
      </x:c>
      <x:c r="B17" s="121"/>
      <x:c r="C17" s="121"/>
      <x:c r="D17" s="121"/>
      <x:c r="E17" s="121"/>
      <x:c r="F17" s="121"/>
      <x:c r="G17" s="121"/>
      <x:c r="H17" s="121"/>
    </x:row>
    <x:row r="18">
      <x:c r="A18" s="121"/>
      <x:c r="B18" s="121"/>
      <x:c r="C18" s="121"/>
      <x:c r="D18" s="121"/>
      <x:c r="E18" s="121"/>
      <x:c r="F18" s="121"/>
      <x:c r="G18" s="121"/>
      <x:c r="H18" s="121"/>
    </x:row>
    <x:row r="19">
      <x:c r="A19" s="122"/>
      <x:c r="B19" s="122"/>
      <x:c r="C19" s="122"/>
      <x:c r="D19" s="122"/>
      <x:c r="E19" s="122"/>
      <x:c r="F19" s="122"/>
      <x:c r="G19" s="122"/>
      <x:c r="H19" s="122"/>
    </x:row>
    <x:row r="20">
      <x:c r="A20" s="135" t="str">
        <x:v>Optional JE 2 — Reclass inventory from available to allocated</x:v>
      </x:c>
      <x:c r="B20" s="135"/>
      <x:c r="C20" s="135"/>
      <x:c r="D20" s="135"/>
      <x:c r="E20" s="135"/>
      <x:c r="F20" s="135"/>
      <x:c r="G20" s="135"/>
      <x:c r="H20" s="135"/>
    </x:row>
    <x:row r="21">
      <x:c r="A21" s="163" t="str">
        <x:v>Date</x:v>
      </x:c>
      <x:c r="B21" s="164" t="str">
        <x:v>Debit Account</x:v>
      </x:c>
      <x:c r="C21" s="164" t="str">
        <x:v>Debit Code</x:v>
      </x:c>
      <x:c r="D21" s="164" t="str">
        <x:v>Credit Account</x:v>
      </x:c>
      <x:c r="E21" s="164" t="str">
        <x:v>Credit Code</x:v>
      </x:c>
      <x:c r="F21" s="164" t="str">
        <x:v>Debit Amount</x:v>
      </x:c>
      <x:c r="G21" s="164" t="str">
        <x:v>Credit Amount</x:v>
      </x:c>
      <x:c r="H21" s="165" t="str">
        <x:v>Narrative</x:v>
      </x:c>
    </x:row>
    <x:row r="22">
      <x:c r="A22" s="122" t="str">
        <x:v>Agreement date</x:v>
      </x:c>
      <x:c r="B22" s="122" t="str">
        <x:v>Inventory - Active Allocated Stands</x:v>
      </x:c>
      <x:c r="C22" s="122" t="str">
        <x:v>110120</x:v>
      </x:c>
      <x:c r="D22" s="122" t="str">
        <x:v>Inventory - Residential Stands Available</x:v>
      </x:c>
      <x:c r="E22" s="122" t="str">
        <x:v>110110</x:v>
      </x:c>
      <x:c r="F22" s="162" t="n">
        <x:f>'01 Assumptions'!B17</x:f>
        <x:v>8000</x:v>
      </x:c>
      <x:c r="G22" s="162" t="n">
        <x:f>'01 Assumptions'!B17</x:f>
        <x:v>8000</x:v>
      </x:c>
      <x:c r="H22" s="122" t="str">
        <x:v>Optional balance sheet reclass at stand cost</x:v>
      </x:c>
    </x:row>
    <x:row r="23">
      <x:c r="A23" s="122"/>
      <x:c r="B23" s="122"/>
      <x:c r="C23" s="122"/>
      <x:c r="D23" s="122"/>
      <x:c r="E23" s="122"/>
      <x:c r="F23" s="122"/>
      <x:c r="G23" s="122"/>
      <x:c r="H23" s="122"/>
    </x:row>
    <x:row r="24">
      <x:c r="A24" s="121" t="str">
        <x:v>This is optional. It helps separate available inventory from allocated/active stands without recognizing cost of sales.</x:v>
      </x:c>
      <x:c r="B24" s="121"/>
      <x:c r="C24" s="121"/>
      <x:c r="D24" s="121"/>
      <x:c r="E24" s="121"/>
      <x:c r="F24" s="121"/>
      <x:c r="G24" s="121"/>
      <x:c r="H24" s="121"/>
    </x:row>
    <x:row r="25">
      <x:c r="A25" s="121"/>
      <x:c r="B25" s="121"/>
      <x:c r="C25" s="121"/>
      <x:c r="D25" s="121"/>
      <x:c r="E25" s="121"/>
      <x:c r="F25" s="121"/>
      <x:c r="G25" s="121"/>
      <x:c r="H25" s="121"/>
    </x:row>
    <x:row r="26">
      <x:c r="A26" s="122"/>
      <x:c r="B26" s="122"/>
      <x:c r="C26" s="122"/>
      <x:c r="D26" s="122"/>
      <x:c r="E26" s="122"/>
      <x:c r="F26" s="122"/>
      <x:c r="G26" s="122"/>
      <x:c r="H26" s="122"/>
    </x:row>
    <x:row r="27">
      <x:c r="A27" s="122"/>
      <x:c r="B27" s="122"/>
      <x:c r="C27" s="122"/>
      <x:c r="D27" s="122"/>
      <x:c r="E27" s="122"/>
      <x:c r="F27" s="122"/>
      <x:c r="G27" s="122"/>
      <x:c r="H27" s="122"/>
    </x:row>
    <x:row r="28">
      <x:c r="A28" s="122"/>
      <x:c r="B28" s="122"/>
      <x:c r="C28" s="122"/>
      <x:c r="D28" s="122"/>
      <x:c r="E28" s="122"/>
      <x:c r="F28" s="122"/>
      <x:c r="G28" s="122"/>
      <x:c r="H28" s="122"/>
    </x:row>
    <x:row r="29">
      <x:c r="A29" s="122"/>
      <x:c r="B29" s="122"/>
      <x:c r="C29" s="122"/>
      <x:c r="D29" s="122"/>
      <x:c r="E29" s="122"/>
      <x:c r="F29" s="122"/>
      <x:c r="G29" s="122"/>
      <x:c r="H29" s="122"/>
    </x:row>
    <x:row r="30">
      <x:c r="A30" s="122"/>
      <x:c r="B30" s="122"/>
      <x:c r="C30" s="122"/>
      <x:c r="D30" s="122"/>
      <x:c r="E30" s="122"/>
      <x:c r="F30" s="122"/>
      <x:c r="G30" s="122"/>
      <x:c r="H30" s="122"/>
    </x:row>
    <x:row r="31">
      <x:c r="A31" s="122"/>
      <x:c r="B31" s="122"/>
      <x:c r="C31" s="122"/>
      <x:c r="D31" s="122"/>
      <x:c r="E31" s="122"/>
      <x:c r="F31" s="122"/>
      <x:c r="G31" s="122"/>
      <x:c r="H31" s="122"/>
    </x:row>
    <x:row r="32">
      <x:c r="A32" s="122"/>
      <x:c r="B32" s="122"/>
      <x:c r="C32" s="122"/>
      <x:c r="D32" s="122"/>
      <x:c r="E32" s="122"/>
      <x:c r="F32" s="122"/>
      <x:c r="G32" s="122"/>
      <x:c r="H32" s="122"/>
    </x:row>
    <x:row r="33">
      <x:c r="A33" s="122"/>
      <x:c r="B33" s="122"/>
      <x:c r="C33" s="122"/>
      <x:c r="D33" s="122"/>
      <x:c r="E33" s="122"/>
      <x:c r="F33" s="122"/>
      <x:c r="G33" s="122"/>
      <x:c r="H33" s="122"/>
    </x:row>
    <x:row r="34">
      <x:c r="A34" s="122"/>
      <x:c r="B34" s="122"/>
      <x:c r="C34" s="122"/>
      <x:c r="D34" s="122"/>
      <x:c r="E34" s="122"/>
      <x:c r="F34" s="122"/>
      <x:c r="G34" s="122"/>
      <x:c r="H34" s="122"/>
    </x:row>
    <x:row r="35">
      <x:c r="A35" s="122"/>
      <x:c r="B35" s="122"/>
      <x:c r="C35" s="122"/>
      <x:c r="D35" s="122"/>
      <x:c r="E35" s="122"/>
      <x:c r="F35" s="122"/>
      <x:c r="G35" s="122"/>
      <x:c r="H35" s="122"/>
    </x:row>
    <x:row r="36">
      <x:c r="A36" s="122"/>
      <x:c r="B36" s="122"/>
      <x:c r="C36" s="122"/>
      <x:c r="D36" s="122"/>
      <x:c r="E36" s="122"/>
      <x:c r="F36" s="122"/>
      <x:c r="G36" s="122"/>
      <x:c r="H36" s="122"/>
    </x:row>
    <x:row r="37">
      <x:c r="A37" s="122"/>
      <x:c r="B37" s="122"/>
      <x:c r="C37" s="122"/>
      <x:c r="D37" s="122"/>
      <x:c r="E37" s="122"/>
      <x:c r="F37" s="122"/>
      <x:c r="G37" s="122"/>
      <x:c r="H37" s="122"/>
    </x:row>
    <x:row r="38">
      <x:c r="A38" s="122"/>
      <x:c r="B38" s="122"/>
      <x:c r="C38" s="122"/>
      <x:c r="D38" s="122"/>
      <x:c r="E38" s="122"/>
      <x:c r="F38" s="122"/>
      <x:c r="G38" s="122"/>
      <x:c r="H38" s="122"/>
    </x:row>
    <x:row r="39">
      <x:c r="A39" s="122"/>
      <x:c r="B39" s="122"/>
      <x:c r="C39" s="122"/>
      <x:c r="D39" s="122"/>
      <x:c r="E39" s="122"/>
      <x:c r="F39" s="122"/>
      <x:c r="G39" s="122"/>
      <x:c r="H39" s="122"/>
    </x:row>
    <x:row r="40">
      <x:c r="A40" s="122"/>
      <x:c r="B40" s="122"/>
      <x:c r="C40" s="122"/>
      <x:c r="D40" s="122"/>
      <x:c r="E40" s="122"/>
      <x:c r="F40" s="122"/>
      <x:c r="G40" s="122"/>
      <x:c r="H40" s="122"/>
    </x:row>
    <x:row r="41">
      <x:c r="A41" s="122"/>
      <x:c r="B41" s="122"/>
      <x:c r="C41" s="122"/>
      <x:c r="D41" s="122"/>
      <x:c r="E41" s="122"/>
      <x:c r="F41" s="122"/>
      <x:c r="G41" s="122"/>
      <x:c r="H41" s="122"/>
    </x:row>
    <x:row r="42">
      <x:c r="A42" s="122"/>
      <x:c r="B42" s="122"/>
      <x:c r="C42" s="122"/>
      <x:c r="D42" s="122"/>
      <x:c r="E42" s="122"/>
      <x:c r="F42" s="122"/>
      <x:c r="G42" s="122"/>
      <x:c r="H42" s="122"/>
    </x:row>
    <x:row r="43">
      <x:c r="A43" s="122"/>
      <x:c r="B43" s="122"/>
      <x:c r="C43" s="122"/>
      <x:c r="D43" s="122"/>
      <x:c r="E43" s="122"/>
      <x:c r="F43" s="122"/>
      <x:c r="G43" s="122"/>
      <x:c r="H43" s="122"/>
    </x:row>
    <x:row r="44">
      <x:c r="A44" s="122"/>
      <x:c r="B44" s="122"/>
      <x:c r="C44" s="122"/>
      <x:c r="D44" s="122"/>
      <x:c r="E44" s="122"/>
      <x:c r="F44" s="122"/>
      <x:c r="G44" s="122"/>
      <x:c r="H44" s="122"/>
    </x:row>
    <x:row r="45">
      <x:c r="A45" s="122"/>
      <x:c r="B45" s="122"/>
      <x:c r="C45" s="122"/>
      <x:c r="D45" s="122"/>
      <x:c r="E45" s="122"/>
      <x:c r="F45" s="122"/>
      <x:c r="G45" s="122"/>
      <x:c r="H45" s="122"/>
    </x:row>
    <x:row r="46">
      <x:c r="A46" s="122"/>
      <x:c r="B46" s="122"/>
      <x:c r="C46" s="122"/>
      <x:c r="D46" s="122"/>
      <x:c r="E46" s="122"/>
      <x:c r="F46" s="122"/>
      <x:c r="G46" s="122"/>
      <x:c r="H46" s="122"/>
    </x:row>
    <x:row r="47">
      <x:c r="A47" s="122"/>
      <x:c r="B47" s="122"/>
      <x:c r="C47" s="122"/>
      <x:c r="D47" s="122"/>
      <x:c r="E47" s="122"/>
      <x:c r="F47" s="122"/>
      <x:c r="G47" s="122"/>
      <x:c r="H47" s="122"/>
    </x:row>
    <x:row r="48">
      <x:c r="A48" s="122"/>
      <x:c r="B48" s="122"/>
      <x:c r="C48" s="122"/>
      <x:c r="D48" s="122"/>
      <x:c r="E48" s="122"/>
      <x:c r="F48" s="122"/>
      <x:c r="G48" s="122"/>
      <x:c r="H48" s="122"/>
    </x:row>
    <x:row r="49">
      <x:c r="A49" s="122"/>
      <x:c r="B49" s="122"/>
      <x:c r="C49" s="122"/>
      <x:c r="D49" s="122"/>
      <x:c r="E49" s="122"/>
      <x:c r="F49" s="122"/>
      <x:c r="G49" s="122"/>
      <x:c r="H49" s="122"/>
    </x:row>
    <x:row r="50">
      <x:c r="A50" s="122"/>
      <x:c r="B50" s="122"/>
      <x:c r="C50" s="122"/>
      <x:c r="D50" s="122"/>
      <x:c r="E50" s="122"/>
      <x:c r="F50" s="122"/>
      <x:c r="G50" s="122"/>
      <x:c r="H50" s="122"/>
    </x:row>
    <x:row r="51">
      <x:c r="A51" s="122"/>
      <x:c r="B51" s="122"/>
      <x:c r="C51" s="122"/>
      <x:c r="D51" s="122"/>
      <x:c r="E51" s="122"/>
      <x:c r="F51" s="122"/>
      <x:c r="G51" s="122"/>
      <x:c r="H51" s="122"/>
    </x:row>
    <x:row r="52">
      <x:c r="A52" s="122"/>
      <x:c r="B52" s="122"/>
      <x:c r="C52" s="122"/>
      <x:c r="D52" s="122"/>
      <x:c r="E52" s="122"/>
      <x:c r="F52" s="122"/>
      <x:c r="G52" s="122"/>
      <x:c r="H52" s="122"/>
    </x:row>
    <x:row r="53">
      <x:c r="A53" s="122"/>
      <x:c r="B53" s="122"/>
      <x:c r="C53" s="122"/>
      <x:c r="D53" s="122"/>
      <x:c r="E53" s="122"/>
      <x:c r="F53" s="122"/>
      <x:c r="G53" s="122"/>
      <x:c r="H53" s="122"/>
    </x:row>
    <x:row r="54">
      <x:c r="A54" s="122"/>
      <x:c r="B54" s="122"/>
      <x:c r="C54" s="122"/>
      <x:c r="D54" s="122"/>
      <x:c r="E54" s="122"/>
      <x:c r="F54" s="122"/>
      <x:c r="G54" s="122"/>
      <x:c r="H54" s="122"/>
    </x:row>
    <x:row r="55">
      <x:c r="A55" s="122"/>
      <x:c r="B55" s="122"/>
      <x:c r="C55" s="122"/>
      <x:c r="D55" s="122"/>
      <x:c r="E55" s="122"/>
      <x:c r="F55" s="122"/>
      <x:c r="G55" s="122"/>
      <x:c r="H55" s="122"/>
    </x:row>
    <x:row r="56">
      <x:c r="A56" s="122"/>
      <x:c r="B56" s="122"/>
      <x:c r="C56" s="122"/>
      <x:c r="D56" s="122"/>
      <x:c r="E56" s="122"/>
      <x:c r="F56" s="122"/>
      <x:c r="G56" s="122"/>
      <x:c r="H56" s="122"/>
    </x:row>
    <x:row r="57">
      <x:c r="A57" s="122"/>
      <x:c r="B57" s="122"/>
      <x:c r="C57" s="122"/>
      <x:c r="D57" s="122"/>
      <x:c r="E57" s="122"/>
      <x:c r="F57" s="122"/>
      <x:c r="G57" s="122"/>
      <x:c r="H57" s="122"/>
    </x:row>
    <x:row r="58">
      <x:c r="A58" s="122"/>
      <x:c r="B58" s="122"/>
      <x:c r="C58" s="122"/>
      <x:c r="D58" s="122"/>
      <x:c r="E58" s="122"/>
      <x:c r="F58" s="122"/>
      <x:c r="G58" s="122"/>
      <x:c r="H58" s="122"/>
    </x:row>
    <x:row r="59">
      <x:c r="A59" s="122"/>
      <x:c r="B59" s="122"/>
      <x:c r="C59" s="122"/>
      <x:c r="D59" s="122"/>
      <x:c r="E59" s="122"/>
      <x:c r="F59" s="122"/>
      <x:c r="G59" s="122"/>
      <x:c r="H59" s="122"/>
    </x:row>
    <x:row r="60">
      <x:c r="A60" s="122"/>
      <x:c r="B60" s="122"/>
      <x:c r="C60" s="122"/>
      <x:c r="D60" s="122"/>
      <x:c r="E60" s="122"/>
      <x:c r="F60" s="122"/>
      <x:c r="G60" s="122"/>
      <x:c r="H60" s="122"/>
    </x:row>
    <x:row r="61">
      <x:c r="A61" s="122"/>
      <x:c r="B61" s="122"/>
      <x:c r="C61" s="122"/>
      <x:c r="D61" s="122"/>
      <x:c r="E61" s="122"/>
      <x:c r="F61" s="122"/>
      <x:c r="G61" s="122"/>
      <x:c r="H61" s="122"/>
    </x:row>
    <x:row r="62">
      <x:c r="A62" s="122"/>
      <x:c r="B62" s="122"/>
      <x:c r="C62" s="122"/>
      <x:c r="D62" s="122"/>
      <x:c r="E62" s="122"/>
      <x:c r="F62" s="122"/>
      <x:c r="G62" s="122"/>
      <x:c r="H62" s="122"/>
    </x:row>
    <x:row r="63">
      <x:c r="A63" s="122"/>
      <x:c r="B63" s="122"/>
      <x:c r="C63" s="122"/>
      <x:c r="D63" s="122"/>
      <x:c r="E63" s="122"/>
      <x:c r="F63" s="122"/>
      <x:c r="G63" s="122"/>
      <x:c r="H63" s="122"/>
    </x:row>
    <x:row r="64">
      <x:c r="A64" s="122"/>
      <x:c r="B64" s="122"/>
      <x:c r="C64" s="122"/>
      <x:c r="D64" s="122"/>
      <x:c r="E64" s="122"/>
      <x:c r="F64" s="122"/>
      <x:c r="G64" s="122"/>
      <x:c r="H64" s="122"/>
    </x:row>
    <x:row r="65">
      <x:c r="A65" s="122"/>
      <x:c r="B65" s="122"/>
      <x:c r="C65" s="122"/>
      <x:c r="D65" s="122"/>
      <x:c r="E65" s="122"/>
      <x:c r="F65" s="122"/>
      <x:c r="G65" s="122"/>
      <x:c r="H65" s="122"/>
    </x:row>
    <x:row r="66">
      <x:c r="A66" s="122"/>
      <x:c r="B66" s="122"/>
      <x:c r="C66" s="122"/>
      <x:c r="D66" s="122"/>
      <x:c r="E66" s="122"/>
      <x:c r="F66" s="122"/>
      <x:c r="G66" s="122"/>
      <x:c r="H66" s="122"/>
    </x:row>
    <x:row r="67">
      <x:c r="A67" s="122"/>
      <x:c r="B67" s="122"/>
      <x:c r="C67" s="122"/>
      <x:c r="D67" s="122"/>
      <x:c r="E67" s="122"/>
      <x:c r="F67" s="122"/>
      <x:c r="G67" s="122"/>
      <x:c r="H67" s="122"/>
    </x:row>
    <x:row r="68">
      <x:c r="A68" s="122"/>
      <x:c r="B68" s="122"/>
      <x:c r="C68" s="122"/>
      <x:c r="D68" s="122"/>
      <x:c r="E68" s="122"/>
      <x:c r="F68" s="122"/>
      <x:c r="G68" s="122"/>
      <x:c r="H68" s="122"/>
    </x:row>
    <x:row r="69">
      <x:c r="A69" s="122"/>
      <x:c r="B69" s="122"/>
      <x:c r="C69" s="122"/>
      <x:c r="D69" s="122"/>
      <x:c r="E69" s="122"/>
      <x:c r="F69" s="122"/>
      <x:c r="G69" s="122"/>
      <x:c r="H69" s="122"/>
    </x:row>
    <x:row r="70">
      <x:c r="A70" s="122"/>
      <x:c r="B70" s="122"/>
      <x:c r="C70" s="122"/>
      <x:c r="D70" s="122"/>
      <x:c r="E70" s="122"/>
      <x:c r="F70" s="122"/>
      <x:c r="G70" s="122"/>
      <x:c r="H70" s="122"/>
    </x:row>
    <x:row r="71">
      <x:c r="A71" s="122"/>
      <x:c r="B71" s="122"/>
      <x:c r="C71" s="122"/>
      <x:c r="D71" s="122"/>
      <x:c r="E71" s="122"/>
      <x:c r="F71" s="122"/>
      <x:c r="G71" s="122"/>
      <x:c r="H71" s="122"/>
    </x:row>
    <x:row r="72">
      <x:c r="A72" s="122"/>
      <x:c r="B72" s="122"/>
      <x:c r="C72" s="122"/>
      <x:c r="D72" s="122"/>
      <x:c r="E72" s="122"/>
      <x:c r="F72" s="122"/>
      <x:c r="G72" s="122"/>
      <x:c r="H72" s="122"/>
    </x:row>
    <x:row r="73">
      <x:c r="A73" s="122"/>
      <x:c r="B73" s="122"/>
      <x:c r="C73" s="122"/>
      <x:c r="D73" s="122"/>
      <x:c r="E73" s="122"/>
      <x:c r="F73" s="122"/>
      <x:c r="G73" s="122"/>
      <x:c r="H73" s="122"/>
    </x:row>
    <x:row r="74">
      <x:c r="A74" s="122"/>
      <x:c r="B74" s="122"/>
      <x:c r="C74" s="122"/>
      <x:c r="D74" s="122"/>
      <x:c r="E74" s="122"/>
      <x:c r="F74" s="122"/>
      <x:c r="G74" s="122"/>
      <x:c r="H74" s="122"/>
    </x:row>
    <x:row r="75">
      <x:c r="A75" s="122"/>
      <x:c r="B75" s="122"/>
      <x:c r="C75" s="122"/>
      <x:c r="D75" s="122"/>
      <x:c r="E75" s="122"/>
      <x:c r="F75" s="122"/>
      <x:c r="G75" s="122"/>
      <x:c r="H75" s="122"/>
    </x:row>
    <x:row r="76">
      <x:c r="A76" s="122"/>
      <x:c r="B76" s="122"/>
      <x:c r="C76" s="122"/>
      <x:c r="D76" s="122"/>
      <x:c r="E76" s="122"/>
      <x:c r="F76" s="122"/>
      <x:c r="G76" s="122"/>
      <x:c r="H76" s="122"/>
    </x:row>
    <x:row r="77">
      <x:c r="A77" s="122"/>
      <x:c r="B77" s="122"/>
      <x:c r="C77" s="122"/>
      <x:c r="D77" s="122"/>
      <x:c r="E77" s="122"/>
      <x:c r="F77" s="122"/>
      <x:c r="G77" s="122"/>
      <x:c r="H77" s="122"/>
    </x:row>
    <x:row r="78">
      <x:c r="A78" s="122"/>
      <x:c r="B78" s="122"/>
      <x:c r="C78" s="122"/>
      <x:c r="D78" s="122"/>
      <x:c r="E78" s="122"/>
      <x:c r="F78" s="122"/>
      <x:c r="G78" s="122"/>
      <x:c r="H78" s="122"/>
    </x:row>
    <x:row r="79">
      <x:c r="A79" s="122"/>
      <x:c r="B79" s="122"/>
      <x:c r="C79" s="122"/>
      <x:c r="D79" s="122"/>
      <x:c r="E79" s="122"/>
      <x:c r="F79" s="122"/>
      <x:c r="G79" s="122"/>
      <x:c r="H79" s="122"/>
    </x:row>
    <x:row r="80">
      <x:c r="A80" s="122"/>
      <x:c r="B80" s="122"/>
      <x:c r="C80" s="122"/>
      <x:c r="D80" s="122"/>
      <x:c r="E80" s="122"/>
      <x:c r="F80" s="122"/>
      <x:c r="G80" s="122"/>
      <x:c r="H80" s="122"/>
    </x:row>
  </x:sheetData>
  <x:mergeCells>
    <x:mergeCell ref="A1:H1"/>
    <x:mergeCell ref="A2:H3"/>
    <x:mergeCell ref="A5:D5"/>
    <x:mergeCell ref="A11:H11"/>
    <x:mergeCell ref="A17:H18"/>
    <x:mergeCell ref="A20:H20"/>
    <x:mergeCell ref="A24:H2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14" hidden="0" customWidth="1"/>
    <x:col min="4" max="4" width="38" hidden="0" customWidth="1"/>
    <x:col min="5" max="5" width="14" hidden="0" customWidth="1"/>
    <x:col min="6" max="6" width="14" hidden="0" customWidth="1"/>
    <x:col min="7" max="7" width="48" hidden="0" customWidth="1"/>
    <x:col min="8" max="8" width="26" hidden="0" customWidth="1"/>
  </x:cols>
  <x:sheetData>
    <x:row r="1" ht="28" customHeight="1">
      <x:c r="A1" s="6" t="str">
        <x:v>Step 2 — Deposit / First Instalment Received</x:v>
      </x:c>
      <x:c r="B1" s="6"/>
      <x:c r="C1" s="6"/>
      <x:c r="D1" s="6"/>
      <x:c r="E1" s="6"/>
      <x:c r="F1" s="6"/>
      <x:c r="G1" s="6"/>
      <x:c r="H1" s="6"/>
    </x:row>
    <x:row r="2" ht="44" customHeight="1">
      <x:c r="A2" s="121" t="str">
        <x:v>Deposit is treated the same as an instalment. Receipt reduces receivable; net portion becomes revenue; VAT portion moves from Deferred Output VAT to VAT Output - ZIMRA; COS is recognized proportionately.</x:v>
      </x:c>
      <x:c r="B2" s="121"/>
      <x:c r="C2" s="121"/>
      <x:c r="D2" s="121"/>
      <x:c r="E2" s="121"/>
      <x:c r="F2" s="121"/>
      <x:c r="G2" s="121"/>
      <x:c r="H2" s="121"/>
    </x:row>
    <x:row r="3" ht="44" customHeight="1">
      <x:c r="A3" s="121"/>
      <x:c r="B3" s="121"/>
      <x:c r="C3" s="121"/>
      <x:c r="D3" s="121"/>
      <x:c r="E3" s="121"/>
      <x:c r="F3" s="121"/>
      <x:c r="G3" s="121"/>
      <x:c r="H3" s="121"/>
    </x:row>
    <x:row r="4">
      <x:c r="A4" s="122"/>
      <x:c r="B4" s="122"/>
      <x:c r="C4" s="122"/>
      <x:c r="D4" s="122"/>
      <x:c r="E4" s="122"/>
      <x:c r="F4" s="122"/>
      <x:c r="G4" s="122"/>
      <x:c r="H4" s="122"/>
    </x:row>
    <x:row r="5">
      <x:c r="A5" s="135" t="str">
        <x:v>Deposit split</x:v>
      </x:c>
      <x:c r="B5" s="135"/>
      <x:c r="C5" s="135"/>
      <x:c r="D5" s="135"/>
      <x:c r="E5" s="122"/>
      <x:c r="F5" s="122"/>
      <x:c r="G5" s="122"/>
      <x:c r="H5" s="122"/>
    </x:row>
    <x:row r="6">
      <x:c r="A6" s="123" t="str">
        <x:v>Item</x:v>
      </x:c>
      <x:c r="B6" s="124" t="str">
        <x:v>Value</x:v>
      </x:c>
      <x:c r="C6" s="124" t="str">
        <x:v>Formula / Basis</x:v>
      </x:c>
      <x:c r="D6" s="125" t="str">
        <x:v>Comment</x:v>
      </x:c>
      <x:c r="E6" s="122"/>
      <x:c r="F6" s="122"/>
      <x:c r="G6" s="122"/>
      <x:c r="H6" s="122"/>
    </x:row>
    <x:row r="7">
      <x:c r="A7" s="126" t="str">
        <x:v>Net portion of deposit</x:v>
      </x:c>
      <x:c r="B7" s="127" t="n">
        <x:f>'01 Assumptions'!B10</x:f>
        <x:v>2000</x:v>
      </x:c>
      <x:c r="C7" s="128" t="str">
        <x:v>Assumptions B10</x:v>
      </x:c>
      <x:c r="D7" s="129" t="str">
        <x:v>Revenue portion</x:v>
      </x:c>
      <x:c r="E7" s="122"/>
      <x:c r="F7" s="122"/>
      <x:c r="G7" s="122"/>
      <x:c r="H7" s="122"/>
    </x:row>
    <x:row r="8">
      <x:c r="A8" s="126" t="str">
        <x:v>VAT portion of deposit</x:v>
      </x:c>
      <x:c r="B8" s="127" t="n">
        <x:f>'01 Assumptions'!B11</x:f>
        <x:v>310</x:v>
      </x:c>
      <x:c r="C8" s="128" t="str">
        <x:v>Assumptions B11</x:v>
      </x:c>
      <x:c r="D8" s="129" t="str">
        <x:v>VAT triggered</x:v>
      </x:c>
      <x:c r="E8" s="122"/>
      <x:c r="F8" s="122"/>
      <x:c r="G8" s="122"/>
      <x:c r="H8" s="122"/>
    </x:row>
    <x:row r="9">
      <x:c r="A9" s="131" t="str">
        <x:v>Gross deposit received</x:v>
      </x:c>
      <x:c r="B9" s="132" t="n">
        <x:f>'01 Assumptions'!B12</x:f>
        <x:v>2310</x:v>
      </x:c>
      <x:c r="C9" s="133" t="str">
        <x:v>Assumptions B12</x:v>
      </x:c>
      <x:c r="D9" s="134" t="str">
        <x:v>Cash received</x:v>
      </x:c>
      <x:c r="E9" s="122"/>
      <x:c r="F9" s="122"/>
      <x:c r="G9" s="122"/>
      <x:c r="H9" s="122"/>
    </x:row>
    <x:row r="10">
      <x:c r="A10" s="122" t="str">
        <x:v>Deposit COS</x:v>
      </x:c>
      <x:c r="B10" s="162" t="n">
        <x:f>'01 Assumptions'!B18</x:f>
        <x:v>800</x:v>
      </x:c>
      <x:c r="C10" s="122" t="str">
        <x:v>Assumptions B18</x:v>
      </x:c>
      <x:c r="D10" s="122" t="str">
        <x:v>Cost of sales</x:v>
      </x:c>
      <x:c r="E10" s="122"/>
      <x:c r="F10" s="122"/>
      <x:c r="G10" s="122"/>
      <x:c r="H10" s="122"/>
    </x:row>
    <x:row r="11">
      <x:c r="A11" s="122"/>
      <x:c r="B11" s="122"/>
      <x:c r="C11" s="122"/>
      <x:c r="D11" s="122"/>
      <x:c r="E11" s="122"/>
      <x:c r="F11" s="122"/>
      <x:c r="G11" s="122"/>
      <x:c r="H11" s="122"/>
    </x:row>
    <x:row r="12">
      <x:c r="A12" s="135" t="str">
        <x:v>JE 1 — Receipt of deposit</x:v>
      </x:c>
      <x:c r="B12" s="135"/>
      <x:c r="C12" s="135"/>
      <x:c r="D12" s="135"/>
      <x:c r="E12" s="135"/>
      <x:c r="F12" s="135"/>
      <x:c r="G12" s="135"/>
      <x:c r="H12" s="135"/>
    </x:row>
    <x:row r="13">
      <x:c r="A13" s="163" t="str">
        <x:v>Date</x:v>
      </x:c>
      <x:c r="B13" s="164" t="str">
        <x:v>Debit Account</x:v>
      </x:c>
      <x:c r="C13" s="164" t="str">
        <x:v>Debit Code</x:v>
      </x:c>
      <x:c r="D13" s="164" t="str">
        <x:v>Credit Account</x:v>
      </x:c>
      <x:c r="E13" s="164" t="str">
        <x:v>Credit Code</x:v>
      </x:c>
      <x:c r="F13" s="164" t="str">
        <x:v>Debit Amount</x:v>
      </x:c>
      <x:c r="G13" s="164" t="str">
        <x:v>Credit Amount</x:v>
      </x:c>
      <x:c r="H13" s="165" t="str">
        <x:v>Narrative</x:v>
      </x:c>
    </x:row>
    <x:row r="14">
      <x:c r="A14" s="122" t="str">
        <x:v>Receipt date</x:v>
      </x:c>
      <x:c r="B14" s="122" t="str">
        <x:v>CABS - Main USD Current Account - 1129888509</x:v>
      </x:c>
      <x:c r="C14" s="122" t="str">
        <x:v>101410</x:v>
      </x:c>
      <x:c r="D14" s="122" t="str">
        <x:v>Account Receivable</x:v>
      </x:c>
      <x:c r="E14" s="122" t="str">
        <x:v>121000</x:v>
      </x:c>
      <x:c r="F14" s="162" t="n">
        <x:f>'01 Assumptions'!B12</x:f>
        <x:v>2310</x:v>
      </x:c>
      <x:c r="G14" s="162" t="n">
        <x:f>'01 Assumptions'!B12</x:f>
        <x:v>2310</x:v>
      </x:c>
      <x:c r="H14" s="122" t="str">
        <x:v>Deposit received; reduces gross customer receivable</x:v>
      </x:c>
    </x:row>
    <x:row r="15">
      <x:c r="A15" s="122"/>
      <x:c r="B15" s="122"/>
      <x:c r="C15" s="122"/>
      <x:c r="D15" s="122"/>
      <x:c r="E15" s="122"/>
      <x:c r="F15" s="122"/>
      <x:c r="G15" s="122"/>
      <x:c r="H15" s="122"/>
    </x:row>
    <x:row r="16">
      <x:c r="A16" s="135" t="str">
        <x:v>JE 2 — Revenue and VAT release</x:v>
      </x:c>
      <x:c r="B16" s="135"/>
      <x:c r="C16" s="135"/>
      <x:c r="D16" s="135"/>
      <x:c r="E16" s="135"/>
      <x:c r="F16" s="135"/>
      <x:c r="G16" s="135"/>
      <x:c r="H16" s="135"/>
    </x:row>
    <x:row r="17">
      <x:c r="A17" s="123" t="str">
        <x:v>Date</x:v>
      </x:c>
      <x:c r="B17" s="124" t="str">
        <x:v>Debit Account</x:v>
      </x:c>
      <x:c r="C17" s="124" t="str">
        <x:v>Debit Code</x:v>
      </x:c>
      <x:c r="D17" s="124" t="str">
        <x:v>Credit Account</x:v>
      </x:c>
      <x:c r="E17" s="124" t="str">
        <x:v>Credit Code</x:v>
      </x:c>
      <x:c r="F17" s="124" t="str">
        <x:v>Debit Amount</x:v>
      </x:c>
      <x:c r="G17" s="124" t="str">
        <x:v>Credit Amount</x:v>
      </x:c>
      <x:c r="H17" s="125" t="str">
        <x:v>Narrative</x:v>
      </x:c>
    </x:row>
    <x:row r="18">
      <x:c r="A18" s="131" t="str">
        <x:v>Receipt date</x:v>
      </x:c>
      <x:c r="B18" s="133" t="str">
        <x:v>Contract Liabilities - Customer Deposits / Instalments</x:v>
      </x:c>
      <x:c r="C18" s="133" t="str">
        <x:v>212010</x:v>
      </x:c>
      <x:c r="D18" s="133" t="str">
        <x:v>Revenue - Residential Stand Sales</x:v>
      </x:c>
      <x:c r="E18" s="133" t="str">
        <x:v>401000</x:v>
      </x:c>
      <x:c r="F18" s="132" t="n">
        <x:f>'01 Assumptions'!B10</x:f>
        <x:v>2000</x:v>
      </x:c>
      <x:c r="G18" s="132" t="n">
        <x:f>'01 Assumptions'!B10</x:f>
        <x:v>2000</x:v>
      </x:c>
      <x:c r="H18" s="134" t="str">
        <x:v>Release net deposit portion to revenue</x:v>
      </x:c>
    </x:row>
    <x:row r="19">
      <x:c r="A19" s="122" t="str">
        <x:v>Receipt date</x:v>
      </x:c>
      <x:c r="B19" s="122" t="str">
        <x:v>Deferred Output VAT</x:v>
      </x:c>
      <x:c r="C19" s="122" t="str">
        <x:v>251020</x:v>
      </x:c>
      <x:c r="D19" s="122" t="str">
        <x:v>VAT Output - ZIMRA</x:v>
      </x:c>
      <x:c r="E19" s="122" t="str">
        <x:v>251010</x:v>
      </x:c>
      <x:c r="F19" s="162" t="n">
        <x:f>'01 Assumptions'!B11</x:f>
        <x:v>310</x:v>
      </x:c>
      <x:c r="G19" s="162" t="n">
        <x:f>'01 Assumptions'!B11</x:f>
        <x:v>310</x:v>
      </x:c>
      <x:c r="H19" s="122" t="str">
        <x:v>Move deposit VAT portion to VAT payable</x:v>
      </x:c>
    </x:row>
    <x:row r="20">
      <x:c r="A20" s="122"/>
      <x:c r="B20" s="122"/>
      <x:c r="C20" s="122"/>
      <x:c r="D20" s="122"/>
      <x:c r="E20" s="122"/>
      <x:c r="F20" s="122"/>
      <x:c r="G20" s="122"/>
      <x:c r="H20" s="122"/>
    </x:row>
    <x:row r="21">
      <x:c r="A21" s="135" t="str">
        <x:v>JE 3 — Cost of sales on deposit</x:v>
      </x:c>
      <x:c r="B21" s="135"/>
      <x:c r="C21" s="135"/>
      <x:c r="D21" s="135"/>
      <x:c r="E21" s="135"/>
      <x:c r="F21" s="135"/>
      <x:c r="G21" s="135"/>
      <x:c r="H21" s="135"/>
    </x:row>
    <x:row r="22">
      <x:c r="A22" s="163" t="str">
        <x:v>Date</x:v>
      </x:c>
      <x:c r="B22" s="164" t="str">
        <x:v>Debit Account</x:v>
      </x:c>
      <x:c r="C22" s="164" t="str">
        <x:v>Debit Code</x:v>
      </x:c>
      <x:c r="D22" s="164" t="str">
        <x:v>Credit Account</x:v>
      </x:c>
      <x:c r="E22" s="164" t="str">
        <x:v>Credit Code</x:v>
      </x:c>
      <x:c r="F22" s="164" t="str">
        <x:v>Debit Amount</x:v>
      </x:c>
      <x:c r="G22" s="164" t="str">
        <x:v>Credit Amount</x:v>
      </x:c>
      <x:c r="H22" s="165" t="str">
        <x:v>Narrative</x:v>
      </x:c>
    </x:row>
    <x:row r="23">
      <x:c r="A23" s="122" t="str">
        <x:v>Receipt date</x:v>
      </x:c>
      <x:c r="B23" s="122" t="str">
        <x:v>COS - Residential Stands</x:v>
      </x:c>
      <x:c r="C23" s="122" t="str">
        <x:v>501000</x:v>
      </x:c>
      <x:c r="D23" s="122" t="str">
        <x:v>Inventory - Active Allocated Stands</x:v>
      </x:c>
      <x:c r="E23" s="122" t="str">
        <x:v>110120</x:v>
      </x:c>
      <x:c r="F23" s="162" t="n">
        <x:f>'01 Assumptions'!B18</x:f>
        <x:v>800</x:v>
      </x:c>
      <x:c r="G23" s="162" t="n">
        <x:f>'01 Assumptions'!B18</x:f>
        <x:v>800</x:v>
      </x:c>
      <x:c r="H23" s="122" t="str">
        <x:v>Recognize COS in same proportion as net revenue</x:v>
      </x:c>
    </x:row>
    <x:row r="24">
      <x:c r="A24" s="122"/>
      <x:c r="B24" s="122"/>
      <x:c r="C24" s="122"/>
      <x:c r="D24" s="122"/>
      <x:c r="E24" s="122"/>
      <x:c r="F24" s="122"/>
      <x:c r="G24" s="122"/>
      <x:c r="H24" s="122"/>
    </x:row>
    <x:row r="25">
      <x:c r="A25" s="121" t="str">
        <x:v>COS = Stand cost × net revenue recognized / total net stand price.</x:v>
      </x:c>
      <x:c r="B25" s="121"/>
      <x:c r="C25" s="121"/>
      <x:c r="D25" s="121"/>
      <x:c r="E25" s="121"/>
      <x:c r="F25" s="121"/>
      <x:c r="G25" s="121"/>
      <x:c r="H25" s="121"/>
    </x:row>
    <x:row r="26">
      <x:c r="A26" s="121"/>
      <x:c r="B26" s="121"/>
      <x:c r="C26" s="121"/>
      <x:c r="D26" s="121"/>
      <x:c r="E26" s="121"/>
      <x:c r="F26" s="121"/>
      <x:c r="G26" s="121"/>
      <x:c r="H26" s="121"/>
    </x:row>
    <x:row r="27">
      <x:c r="A27" s="122"/>
      <x:c r="B27" s="122"/>
      <x:c r="C27" s="122"/>
      <x:c r="D27" s="122"/>
      <x:c r="E27" s="122"/>
      <x:c r="F27" s="122"/>
      <x:c r="G27" s="122"/>
      <x:c r="H27" s="122"/>
    </x:row>
    <x:row r="28">
      <x:c r="A28" s="122"/>
      <x:c r="B28" s="122"/>
      <x:c r="C28" s="122"/>
      <x:c r="D28" s="122"/>
      <x:c r="E28" s="122"/>
      <x:c r="F28" s="122"/>
      <x:c r="G28" s="122"/>
      <x:c r="H28" s="122"/>
    </x:row>
    <x:row r="29">
      <x:c r="A29" s="122"/>
      <x:c r="B29" s="122"/>
      <x:c r="C29" s="122"/>
      <x:c r="D29" s="122"/>
      <x:c r="E29" s="122"/>
      <x:c r="F29" s="122"/>
      <x:c r="G29" s="122"/>
      <x:c r="H29" s="122"/>
    </x:row>
    <x:row r="30">
      <x:c r="A30" s="122"/>
      <x:c r="B30" s="122"/>
      <x:c r="C30" s="122"/>
      <x:c r="D30" s="122"/>
      <x:c r="E30" s="122"/>
      <x:c r="F30" s="122"/>
      <x:c r="G30" s="122"/>
      <x:c r="H30" s="122"/>
    </x:row>
    <x:row r="31">
      <x:c r="A31" s="122"/>
      <x:c r="B31" s="122"/>
      <x:c r="C31" s="122"/>
      <x:c r="D31" s="122"/>
      <x:c r="E31" s="122"/>
      <x:c r="F31" s="122"/>
      <x:c r="G31" s="122"/>
      <x:c r="H31" s="122"/>
    </x:row>
    <x:row r="32">
      <x:c r="A32" s="122"/>
      <x:c r="B32" s="122"/>
      <x:c r="C32" s="122"/>
      <x:c r="D32" s="122"/>
      <x:c r="E32" s="122"/>
      <x:c r="F32" s="122"/>
      <x:c r="G32" s="122"/>
      <x:c r="H32" s="122"/>
    </x:row>
    <x:row r="33">
      <x:c r="A33" s="122"/>
      <x:c r="B33" s="122"/>
      <x:c r="C33" s="122"/>
      <x:c r="D33" s="122"/>
      <x:c r="E33" s="122"/>
      <x:c r="F33" s="122"/>
      <x:c r="G33" s="122"/>
      <x:c r="H33" s="122"/>
    </x:row>
    <x:row r="34">
      <x:c r="A34" s="122"/>
      <x:c r="B34" s="122"/>
      <x:c r="C34" s="122"/>
      <x:c r="D34" s="122"/>
      <x:c r="E34" s="122"/>
      <x:c r="F34" s="122"/>
      <x:c r="G34" s="122"/>
      <x:c r="H34" s="122"/>
    </x:row>
    <x:row r="35">
      <x:c r="A35" s="122"/>
      <x:c r="B35" s="122"/>
      <x:c r="C35" s="122"/>
      <x:c r="D35" s="122"/>
      <x:c r="E35" s="122"/>
      <x:c r="F35" s="122"/>
      <x:c r="G35" s="122"/>
      <x:c r="H35" s="122"/>
    </x:row>
    <x:row r="36">
      <x:c r="A36" s="122"/>
      <x:c r="B36" s="122"/>
      <x:c r="C36" s="122"/>
      <x:c r="D36" s="122"/>
      <x:c r="E36" s="122"/>
      <x:c r="F36" s="122"/>
      <x:c r="G36" s="122"/>
      <x:c r="H36" s="122"/>
    </x:row>
    <x:row r="37">
      <x:c r="A37" s="122"/>
      <x:c r="B37" s="122"/>
      <x:c r="C37" s="122"/>
      <x:c r="D37" s="122"/>
      <x:c r="E37" s="122"/>
      <x:c r="F37" s="122"/>
      <x:c r="G37" s="122"/>
      <x:c r="H37" s="122"/>
    </x:row>
    <x:row r="38">
      <x:c r="A38" s="122"/>
      <x:c r="B38" s="122"/>
      <x:c r="C38" s="122"/>
      <x:c r="D38" s="122"/>
      <x:c r="E38" s="122"/>
      <x:c r="F38" s="122"/>
      <x:c r="G38" s="122"/>
      <x:c r="H38" s="122"/>
    </x:row>
    <x:row r="39">
      <x:c r="A39" s="122"/>
      <x:c r="B39" s="122"/>
      <x:c r="C39" s="122"/>
      <x:c r="D39" s="122"/>
      <x:c r="E39" s="122"/>
      <x:c r="F39" s="122"/>
      <x:c r="G39" s="122"/>
      <x:c r="H39" s="122"/>
    </x:row>
    <x:row r="40">
      <x:c r="A40" s="122"/>
      <x:c r="B40" s="122"/>
      <x:c r="C40" s="122"/>
      <x:c r="D40" s="122"/>
      <x:c r="E40" s="122"/>
      <x:c r="F40" s="122"/>
      <x:c r="G40" s="122"/>
      <x:c r="H40" s="122"/>
    </x:row>
    <x:row r="41">
      <x:c r="A41" s="122"/>
      <x:c r="B41" s="122"/>
      <x:c r="C41" s="122"/>
      <x:c r="D41" s="122"/>
      <x:c r="E41" s="122"/>
      <x:c r="F41" s="122"/>
      <x:c r="G41" s="122"/>
      <x:c r="H41" s="122"/>
    </x:row>
    <x:row r="42">
      <x:c r="A42" s="122"/>
      <x:c r="B42" s="122"/>
      <x:c r="C42" s="122"/>
      <x:c r="D42" s="122"/>
      <x:c r="E42" s="122"/>
      <x:c r="F42" s="122"/>
      <x:c r="G42" s="122"/>
      <x:c r="H42" s="122"/>
    </x:row>
    <x:row r="43">
      <x:c r="A43" s="122"/>
      <x:c r="B43" s="122"/>
      <x:c r="C43" s="122"/>
      <x:c r="D43" s="122"/>
      <x:c r="E43" s="122"/>
      <x:c r="F43" s="122"/>
      <x:c r="G43" s="122"/>
      <x:c r="H43" s="122"/>
    </x:row>
    <x:row r="44">
      <x:c r="A44" s="122"/>
      <x:c r="B44" s="122"/>
      <x:c r="C44" s="122"/>
      <x:c r="D44" s="122"/>
      <x:c r="E44" s="122"/>
      <x:c r="F44" s="122"/>
      <x:c r="G44" s="122"/>
      <x:c r="H44" s="122"/>
    </x:row>
    <x:row r="45">
      <x:c r="A45" s="122"/>
      <x:c r="B45" s="122"/>
      <x:c r="C45" s="122"/>
      <x:c r="D45" s="122"/>
      <x:c r="E45" s="122"/>
      <x:c r="F45" s="122"/>
      <x:c r="G45" s="122"/>
      <x:c r="H45" s="122"/>
    </x:row>
    <x:row r="46">
      <x:c r="A46" s="122"/>
      <x:c r="B46" s="122"/>
      <x:c r="C46" s="122"/>
      <x:c r="D46" s="122"/>
      <x:c r="E46" s="122"/>
      <x:c r="F46" s="122"/>
      <x:c r="G46" s="122"/>
      <x:c r="H46" s="122"/>
    </x:row>
    <x:row r="47">
      <x:c r="A47" s="122"/>
      <x:c r="B47" s="122"/>
      <x:c r="C47" s="122"/>
      <x:c r="D47" s="122"/>
      <x:c r="E47" s="122"/>
      <x:c r="F47" s="122"/>
      <x:c r="G47" s="122"/>
      <x:c r="H47" s="122"/>
    </x:row>
    <x:row r="48">
      <x:c r="A48" s="122"/>
      <x:c r="B48" s="122"/>
      <x:c r="C48" s="122"/>
      <x:c r="D48" s="122"/>
      <x:c r="E48" s="122"/>
      <x:c r="F48" s="122"/>
      <x:c r="G48" s="122"/>
      <x:c r="H48" s="122"/>
    </x:row>
    <x:row r="49">
      <x:c r="A49" s="122"/>
      <x:c r="B49" s="122"/>
      <x:c r="C49" s="122"/>
      <x:c r="D49" s="122"/>
      <x:c r="E49" s="122"/>
      <x:c r="F49" s="122"/>
      <x:c r="G49" s="122"/>
      <x:c r="H49" s="122"/>
    </x:row>
    <x:row r="50">
      <x:c r="A50" s="122"/>
      <x:c r="B50" s="122"/>
      <x:c r="C50" s="122"/>
      <x:c r="D50" s="122"/>
      <x:c r="E50" s="122"/>
      <x:c r="F50" s="122"/>
      <x:c r="G50" s="122"/>
      <x:c r="H50" s="122"/>
    </x:row>
    <x:row r="51">
      <x:c r="A51" s="122"/>
      <x:c r="B51" s="122"/>
      <x:c r="C51" s="122"/>
      <x:c r="D51" s="122"/>
      <x:c r="E51" s="122"/>
      <x:c r="F51" s="122"/>
      <x:c r="G51" s="122"/>
      <x:c r="H51" s="122"/>
    </x:row>
    <x:row r="52">
      <x:c r="A52" s="122"/>
      <x:c r="B52" s="122"/>
      <x:c r="C52" s="122"/>
      <x:c r="D52" s="122"/>
      <x:c r="E52" s="122"/>
      <x:c r="F52" s="122"/>
      <x:c r="G52" s="122"/>
      <x:c r="H52" s="122"/>
    </x:row>
    <x:row r="53">
      <x:c r="A53" s="122"/>
      <x:c r="B53" s="122"/>
      <x:c r="C53" s="122"/>
      <x:c r="D53" s="122"/>
      <x:c r="E53" s="122"/>
      <x:c r="F53" s="122"/>
      <x:c r="G53" s="122"/>
      <x:c r="H53" s="122"/>
    </x:row>
    <x:row r="54">
      <x:c r="A54" s="122"/>
      <x:c r="B54" s="122"/>
      <x:c r="C54" s="122"/>
      <x:c r="D54" s="122"/>
      <x:c r="E54" s="122"/>
      <x:c r="F54" s="122"/>
      <x:c r="G54" s="122"/>
      <x:c r="H54" s="122"/>
    </x:row>
    <x:row r="55">
      <x:c r="A55" s="122"/>
      <x:c r="B55" s="122"/>
      <x:c r="C55" s="122"/>
      <x:c r="D55" s="122"/>
      <x:c r="E55" s="122"/>
      <x:c r="F55" s="122"/>
      <x:c r="G55" s="122"/>
      <x:c r="H55" s="122"/>
    </x:row>
    <x:row r="56">
      <x:c r="A56" s="122"/>
      <x:c r="B56" s="122"/>
      <x:c r="C56" s="122"/>
      <x:c r="D56" s="122"/>
      <x:c r="E56" s="122"/>
      <x:c r="F56" s="122"/>
      <x:c r="G56" s="122"/>
      <x:c r="H56" s="122"/>
    </x:row>
    <x:row r="57">
      <x:c r="A57" s="122"/>
      <x:c r="B57" s="122"/>
      <x:c r="C57" s="122"/>
      <x:c r="D57" s="122"/>
      <x:c r="E57" s="122"/>
      <x:c r="F57" s="122"/>
      <x:c r="G57" s="122"/>
      <x:c r="H57" s="122"/>
    </x:row>
    <x:row r="58">
      <x:c r="A58" s="122"/>
      <x:c r="B58" s="122"/>
      <x:c r="C58" s="122"/>
      <x:c r="D58" s="122"/>
      <x:c r="E58" s="122"/>
      <x:c r="F58" s="122"/>
      <x:c r="G58" s="122"/>
      <x:c r="H58" s="122"/>
    </x:row>
    <x:row r="59">
      <x:c r="A59" s="122"/>
      <x:c r="B59" s="122"/>
      <x:c r="C59" s="122"/>
      <x:c r="D59" s="122"/>
      <x:c r="E59" s="122"/>
      <x:c r="F59" s="122"/>
      <x:c r="G59" s="122"/>
      <x:c r="H59" s="122"/>
    </x:row>
    <x:row r="60">
      <x:c r="A60" s="122"/>
      <x:c r="B60" s="122"/>
      <x:c r="C60" s="122"/>
      <x:c r="D60" s="122"/>
      <x:c r="E60" s="122"/>
      <x:c r="F60" s="122"/>
      <x:c r="G60" s="122"/>
      <x:c r="H60" s="122"/>
    </x:row>
    <x:row r="61">
      <x:c r="A61" s="122"/>
      <x:c r="B61" s="122"/>
      <x:c r="C61" s="122"/>
      <x:c r="D61" s="122"/>
      <x:c r="E61" s="122"/>
      <x:c r="F61" s="122"/>
      <x:c r="G61" s="122"/>
      <x:c r="H61" s="122"/>
    </x:row>
    <x:row r="62">
      <x:c r="A62" s="122"/>
      <x:c r="B62" s="122"/>
      <x:c r="C62" s="122"/>
      <x:c r="D62" s="122"/>
      <x:c r="E62" s="122"/>
      <x:c r="F62" s="122"/>
      <x:c r="G62" s="122"/>
      <x:c r="H62" s="122"/>
    </x:row>
    <x:row r="63">
      <x:c r="A63" s="122"/>
      <x:c r="B63" s="122"/>
      <x:c r="C63" s="122"/>
      <x:c r="D63" s="122"/>
      <x:c r="E63" s="122"/>
      <x:c r="F63" s="122"/>
      <x:c r="G63" s="122"/>
      <x:c r="H63" s="122"/>
    </x:row>
    <x:row r="64">
      <x:c r="A64" s="122"/>
      <x:c r="B64" s="122"/>
      <x:c r="C64" s="122"/>
      <x:c r="D64" s="122"/>
      <x:c r="E64" s="122"/>
      <x:c r="F64" s="122"/>
      <x:c r="G64" s="122"/>
      <x:c r="H64" s="122"/>
    </x:row>
    <x:row r="65">
      <x:c r="A65" s="122"/>
      <x:c r="B65" s="122"/>
      <x:c r="C65" s="122"/>
      <x:c r="D65" s="122"/>
      <x:c r="E65" s="122"/>
      <x:c r="F65" s="122"/>
      <x:c r="G65" s="122"/>
      <x:c r="H65" s="122"/>
    </x:row>
    <x:row r="66">
      <x:c r="A66" s="122"/>
      <x:c r="B66" s="122"/>
      <x:c r="C66" s="122"/>
      <x:c r="D66" s="122"/>
      <x:c r="E66" s="122"/>
      <x:c r="F66" s="122"/>
      <x:c r="G66" s="122"/>
      <x:c r="H66" s="122"/>
    </x:row>
    <x:row r="67">
      <x:c r="A67" s="122"/>
      <x:c r="B67" s="122"/>
      <x:c r="C67" s="122"/>
      <x:c r="D67" s="122"/>
      <x:c r="E67" s="122"/>
      <x:c r="F67" s="122"/>
      <x:c r="G67" s="122"/>
      <x:c r="H67" s="122"/>
    </x:row>
    <x:row r="68">
      <x:c r="A68" s="122"/>
      <x:c r="B68" s="122"/>
      <x:c r="C68" s="122"/>
      <x:c r="D68" s="122"/>
      <x:c r="E68" s="122"/>
      <x:c r="F68" s="122"/>
      <x:c r="G68" s="122"/>
      <x:c r="H68" s="122"/>
    </x:row>
    <x:row r="69">
      <x:c r="A69" s="122"/>
      <x:c r="B69" s="122"/>
      <x:c r="C69" s="122"/>
      <x:c r="D69" s="122"/>
      <x:c r="E69" s="122"/>
      <x:c r="F69" s="122"/>
      <x:c r="G69" s="122"/>
      <x:c r="H69" s="122"/>
    </x:row>
    <x:row r="70">
      <x:c r="A70" s="122"/>
      <x:c r="B70" s="122"/>
      <x:c r="C70" s="122"/>
      <x:c r="D70" s="122"/>
      <x:c r="E70" s="122"/>
      <x:c r="F70" s="122"/>
      <x:c r="G70" s="122"/>
      <x:c r="H70" s="122"/>
    </x:row>
    <x:row r="71">
      <x:c r="A71" s="122"/>
      <x:c r="B71" s="122"/>
      <x:c r="C71" s="122"/>
      <x:c r="D71" s="122"/>
      <x:c r="E71" s="122"/>
      <x:c r="F71" s="122"/>
      <x:c r="G71" s="122"/>
      <x:c r="H71" s="122"/>
    </x:row>
    <x:row r="72">
      <x:c r="A72" s="122"/>
      <x:c r="B72" s="122"/>
      <x:c r="C72" s="122"/>
      <x:c r="D72" s="122"/>
      <x:c r="E72" s="122"/>
      <x:c r="F72" s="122"/>
      <x:c r="G72" s="122"/>
      <x:c r="H72" s="122"/>
    </x:row>
    <x:row r="73">
      <x:c r="A73" s="122"/>
      <x:c r="B73" s="122"/>
      <x:c r="C73" s="122"/>
      <x:c r="D73" s="122"/>
      <x:c r="E73" s="122"/>
      <x:c r="F73" s="122"/>
      <x:c r="G73" s="122"/>
      <x:c r="H73" s="122"/>
    </x:row>
    <x:row r="74">
      <x:c r="A74" s="122"/>
      <x:c r="B74" s="122"/>
      <x:c r="C74" s="122"/>
      <x:c r="D74" s="122"/>
      <x:c r="E74" s="122"/>
      <x:c r="F74" s="122"/>
      <x:c r="G74" s="122"/>
      <x:c r="H74" s="122"/>
    </x:row>
    <x:row r="75">
      <x:c r="A75" s="122"/>
      <x:c r="B75" s="122"/>
      <x:c r="C75" s="122"/>
      <x:c r="D75" s="122"/>
      <x:c r="E75" s="122"/>
      <x:c r="F75" s="122"/>
      <x:c r="G75" s="122"/>
      <x:c r="H75" s="122"/>
    </x:row>
    <x:row r="76">
      <x:c r="A76" s="122"/>
      <x:c r="B76" s="122"/>
      <x:c r="C76" s="122"/>
      <x:c r="D76" s="122"/>
      <x:c r="E76" s="122"/>
      <x:c r="F76" s="122"/>
      <x:c r="G76" s="122"/>
      <x:c r="H76" s="122"/>
    </x:row>
    <x:row r="77">
      <x:c r="A77" s="122"/>
      <x:c r="B77" s="122"/>
      <x:c r="C77" s="122"/>
      <x:c r="D77" s="122"/>
      <x:c r="E77" s="122"/>
      <x:c r="F77" s="122"/>
      <x:c r="G77" s="122"/>
      <x:c r="H77" s="122"/>
    </x:row>
    <x:row r="78">
      <x:c r="A78" s="122"/>
      <x:c r="B78" s="122"/>
      <x:c r="C78" s="122"/>
      <x:c r="D78" s="122"/>
      <x:c r="E78" s="122"/>
      <x:c r="F78" s="122"/>
      <x:c r="G78" s="122"/>
      <x:c r="H78" s="122"/>
    </x:row>
    <x:row r="79">
      <x:c r="A79" s="122"/>
      <x:c r="B79" s="122"/>
      <x:c r="C79" s="122"/>
      <x:c r="D79" s="122"/>
      <x:c r="E79" s="122"/>
      <x:c r="F79" s="122"/>
      <x:c r="G79" s="122"/>
      <x:c r="H79" s="122"/>
    </x:row>
    <x:row r="80">
      <x:c r="A80" s="122"/>
      <x:c r="B80" s="122"/>
      <x:c r="C80" s="122"/>
      <x:c r="D80" s="122"/>
      <x:c r="E80" s="122"/>
      <x:c r="F80" s="122"/>
      <x:c r="G80" s="122"/>
      <x:c r="H80" s="122"/>
    </x:row>
  </x:sheetData>
  <x:mergeCells>
    <x:mergeCell ref="A1:H1"/>
    <x:mergeCell ref="A2:H3"/>
    <x:mergeCell ref="A5:D5"/>
    <x:mergeCell ref="A12:H12"/>
    <x:mergeCell ref="A16:H16"/>
    <x:mergeCell ref="A21:H21"/>
    <x:mergeCell ref="A25:H2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8" hidden="0" customWidth="1"/>
    <x:col min="3" max="3" width="28" hidden="0" customWidth="1"/>
    <x:col min="4" max="4" width="18" hidden="0" customWidth="1"/>
    <x:col min="5" max="5" width="70" hidden="0" customWidth="1"/>
  </x:cols>
  <x:sheetData>
    <x:row r="1" ht="28" customHeight="1">
      <x:c r="A1" s="6" t="str">
        <x:v>Step 3 — Monthly Instalment Due / No GL Accrual</x:v>
      </x:c>
      <x:c r="B1" s="6"/>
      <x:c r="C1" s="6"/>
      <x:c r="D1" s="6"/>
      <x:c r="E1" s="6"/>
      <x:c r="F1" s="6"/>
      <x:c r="G1" s="6"/>
      <x:c r="H1" s="6"/>
    </x:row>
    <x:row r="2" ht="44" customHeight="1">
      <x:c r="A2" s="121" t="str">
        <x:v>No GL accrual is posted merely because a monthly instalment becomes due. The full customer receivable was already recognized at contract inception. Arrears belong in the customer payment schedule/subledger.</x:v>
      </x:c>
      <x:c r="B2" s="121"/>
      <x:c r="C2" s="121"/>
      <x:c r="D2" s="121"/>
      <x:c r="E2" s="121"/>
      <x:c r="F2" s="122"/>
      <x:c r="G2" s="122"/>
      <x:c r="H2" s="122"/>
    </x:row>
    <x:row r="3" ht="44" customHeight="1">
      <x:c r="A3" s="121"/>
      <x:c r="B3" s="121"/>
      <x:c r="C3" s="121"/>
      <x:c r="D3" s="121"/>
      <x:c r="E3" s="121"/>
      <x:c r="F3" s="122"/>
      <x:c r="G3" s="122"/>
      <x:c r="H3" s="122"/>
    </x:row>
    <x:row r="4">
      <x:c r="A4" s="122"/>
      <x:c r="B4" s="122"/>
      <x:c r="C4" s="122"/>
      <x:c r="D4" s="122"/>
      <x:c r="E4" s="122"/>
      <x:c r="F4" s="122"/>
      <x:c r="G4" s="122"/>
      <x:c r="H4" s="122"/>
    </x:row>
    <x:row r="5">
      <x:c r="A5" s="135" t="str">
        <x:v>No monthly due accrual</x:v>
      </x:c>
      <x:c r="B5" s="135"/>
      <x:c r="C5" s="135"/>
      <x:c r="D5" s="135"/>
      <x:c r="E5" s="135"/>
      <x:c r="F5" s="122"/>
      <x:c r="G5" s="122"/>
      <x:c r="H5" s="122"/>
    </x:row>
    <x:row r="6">
      <x:c r="A6" s="163" t="str">
        <x:v>Event</x:v>
      </x:c>
      <x:c r="B6" s="164" t="str">
        <x:v>Debit Account</x:v>
      </x:c>
      <x:c r="C6" s="164" t="str">
        <x:v>Credit Account</x:v>
      </x:c>
      <x:c r="D6" s="164" t="str">
        <x:v>Amount</x:v>
      </x:c>
      <x:c r="E6" s="165" t="str">
        <x:v>Explanation</x:v>
      </x:c>
      <x:c r="F6" s="122"/>
      <x:c r="G6" s="122"/>
      <x:c r="H6" s="122"/>
    </x:row>
    <x:row r="7">
      <x:c r="A7" s="122" t="str">
        <x:v>Monthly instalment falls due</x:v>
      </x:c>
      <x:c r="B7" s="122" t="str">
        <x:v>No entry</x:v>
      </x:c>
      <x:c r="C7" s="122" t="str">
        <x:v>No entry</x:v>
      </x:c>
      <x:c r="D7" s="162" t="n">
        <x:v>0</x:v>
      </x:c>
      <x:c r="E7" s="122" t="str">
        <x:v>Do not debit receivable again; the full gross contract receivable already exists.</x:v>
      </x:c>
      <x:c r="F7" s="122"/>
      <x:c r="G7" s="122"/>
      <x:c r="H7" s="122"/>
    </x:row>
    <x:row r="8">
      <x:c r="A8" s="122"/>
      <x:c r="B8" s="122"/>
      <x:c r="C8" s="122"/>
      <x:c r="D8" s="122"/>
      <x:c r="E8" s="122"/>
      <x:c r="F8" s="122"/>
      <x:c r="G8" s="122"/>
      <x:c r="H8" s="122"/>
    </x:row>
    <x:row r="9">
      <x:c r="A9" s="121" t="str">
        <x:v>Control: customer statements and arrears reports show due dates and missed payments; the GL records actual payments and formal adjustments only.</x:v>
      </x:c>
      <x:c r="B9" s="121"/>
      <x:c r="C9" s="121"/>
      <x:c r="D9" s="121"/>
      <x:c r="E9" s="121"/>
      <x:c r="F9" s="122"/>
      <x:c r="G9" s="122"/>
      <x:c r="H9" s="122"/>
    </x:row>
    <x:row r="10">
      <x:c r="A10" s="121"/>
      <x:c r="B10" s="121"/>
      <x:c r="C10" s="121"/>
      <x:c r="D10" s="121"/>
      <x:c r="E10" s="121"/>
      <x:c r="F10" s="122"/>
      <x:c r="G10" s="122"/>
      <x:c r="H10" s="122"/>
    </x:row>
    <x:row r="11">
      <x:c r="A11" s="122"/>
      <x:c r="B11" s="122"/>
      <x:c r="C11" s="122"/>
      <x:c r="D11" s="122"/>
      <x:c r="E11" s="122"/>
      <x:c r="F11" s="122"/>
      <x:c r="G11" s="122"/>
      <x:c r="H11" s="122"/>
    </x:row>
    <x:row r="12">
      <x:c r="A12" s="122"/>
      <x:c r="B12" s="122"/>
      <x:c r="C12" s="122"/>
      <x:c r="D12" s="122"/>
      <x:c r="E12" s="122"/>
      <x:c r="F12" s="122"/>
      <x:c r="G12" s="122"/>
      <x:c r="H12" s="122"/>
    </x:row>
    <x:row r="13">
      <x:c r="A13" s="122"/>
      <x:c r="B13" s="122"/>
      <x:c r="C13" s="122"/>
      <x:c r="D13" s="122"/>
      <x:c r="E13" s="122"/>
      <x:c r="F13" s="122"/>
      <x:c r="G13" s="122"/>
      <x:c r="H13" s="122"/>
    </x:row>
    <x:row r="14">
      <x:c r="A14" s="122"/>
      <x:c r="B14" s="122"/>
      <x:c r="C14" s="122"/>
      <x:c r="D14" s="122"/>
      <x:c r="E14" s="122"/>
      <x:c r="F14" s="122"/>
      <x:c r="G14" s="122"/>
      <x:c r="H14" s="122"/>
    </x:row>
    <x:row r="15">
      <x:c r="A15" s="122"/>
      <x:c r="B15" s="122"/>
      <x:c r="C15" s="122"/>
      <x:c r="D15" s="122"/>
      <x:c r="E15" s="122"/>
      <x:c r="F15" s="122"/>
      <x:c r="G15" s="122"/>
      <x:c r="H15" s="122"/>
    </x:row>
    <x:row r="16">
      <x:c r="A16" s="122"/>
      <x:c r="B16" s="122"/>
      <x:c r="C16" s="122"/>
      <x:c r="D16" s="122"/>
      <x:c r="E16" s="122"/>
      <x:c r="F16" s="122"/>
      <x:c r="G16" s="122"/>
      <x:c r="H16" s="122"/>
    </x:row>
    <x:row r="17">
      <x:c r="A17" s="122"/>
      <x:c r="B17" s="122"/>
      <x:c r="C17" s="122"/>
      <x:c r="D17" s="122"/>
      <x:c r="E17" s="122"/>
      <x:c r="F17" s="122"/>
      <x:c r="G17" s="122"/>
      <x:c r="H17" s="122"/>
    </x:row>
    <x:row r="18">
      <x:c r="A18" s="122"/>
      <x:c r="B18" s="122"/>
      <x:c r="C18" s="122"/>
      <x:c r="D18" s="122"/>
      <x:c r="E18" s="122"/>
      <x:c r="F18" s="122"/>
      <x:c r="G18" s="122"/>
      <x:c r="H18" s="122"/>
    </x:row>
    <x:row r="19">
      <x:c r="A19" s="122"/>
      <x:c r="B19" s="122"/>
      <x:c r="C19" s="122"/>
      <x:c r="D19" s="122"/>
      <x:c r="E19" s="122"/>
      <x:c r="F19" s="122"/>
      <x:c r="G19" s="122"/>
      <x:c r="H19" s="122"/>
    </x:row>
    <x:row r="20">
      <x:c r="A20" s="122"/>
      <x:c r="B20" s="122"/>
      <x:c r="C20" s="122"/>
      <x:c r="D20" s="122"/>
      <x:c r="E20" s="122"/>
      <x:c r="F20" s="122"/>
      <x:c r="G20" s="122"/>
      <x:c r="H20" s="122"/>
    </x:row>
    <x:row r="21">
      <x:c r="A21" s="122"/>
      <x:c r="B21" s="122"/>
      <x:c r="C21" s="122"/>
      <x:c r="D21" s="122"/>
      <x:c r="E21" s="122"/>
      <x:c r="F21" s="122"/>
      <x:c r="G21" s="122"/>
      <x:c r="H21" s="122"/>
    </x:row>
    <x:row r="22">
      <x:c r="A22" s="122"/>
      <x:c r="B22" s="122"/>
      <x:c r="C22" s="122"/>
      <x:c r="D22" s="122"/>
      <x:c r="E22" s="122"/>
      <x:c r="F22" s="122"/>
      <x:c r="G22" s="122"/>
      <x:c r="H22" s="122"/>
    </x:row>
    <x:row r="23">
      <x:c r="A23" s="122"/>
      <x:c r="B23" s="122"/>
      <x:c r="C23" s="122"/>
      <x:c r="D23" s="122"/>
      <x:c r="E23" s="122"/>
      <x:c r="F23" s="122"/>
      <x:c r="G23" s="122"/>
      <x:c r="H23" s="122"/>
    </x:row>
    <x:row r="24">
      <x:c r="A24" s="122"/>
      <x:c r="B24" s="122"/>
      <x:c r="C24" s="122"/>
      <x:c r="D24" s="122"/>
      <x:c r="E24" s="122"/>
      <x:c r="F24" s="122"/>
      <x:c r="G24" s="122"/>
      <x:c r="H24" s="122"/>
    </x:row>
    <x:row r="25">
      <x:c r="A25" s="122"/>
      <x:c r="B25" s="122"/>
      <x:c r="C25" s="122"/>
      <x:c r="D25" s="122"/>
      <x:c r="E25" s="122"/>
      <x:c r="F25" s="122"/>
      <x:c r="G25" s="122"/>
      <x:c r="H25" s="122"/>
    </x:row>
    <x:row r="26">
      <x:c r="A26" s="122"/>
      <x:c r="B26" s="122"/>
      <x:c r="C26" s="122"/>
      <x:c r="D26" s="122"/>
      <x:c r="E26" s="122"/>
      <x:c r="F26" s="122"/>
      <x:c r="G26" s="122"/>
      <x:c r="H26" s="122"/>
    </x:row>
    <x:row r="27">
      <x:c r="A27" s="122"/>
      <x:c r="B27" s="122"/>
      <x:c r="C27" s="122"/>
      <x:c r="D27" s="122"/>
      <x:c r="E27" s="122"/>
      <x:c r="F27" s="122"/>
      <x:c r="G27" s="122"/>
      <x:c r="H27" s="122"/>
    </x:row>
    <x:row r="28">
      <x:c r="A28" s="122"/>
      <x:c r="B28" s="122"/>
      <x:c r="C28" s="122"/>
      <x:c r="D28" s="122"/>
      <x:c r="E28" s="122"/>
      <x:c r="F28" s="122"/>
      <x:c r="G28" s="122"/>
      <x:c r="H28" s="122"/>
    </x:row>
    <x:row r="29">
      <x:c r="A29" s="122"/>
      <x:c r="B29" s="122"/>
      <x:c r="C29" s="122"/>
      <x:c r="D29" s="122"/>
      <x:c r="E29" s="122"/>
      <x:c r="F29" s="122"/>
      <x:c r="G29" s="122"/>
      <x:c r="H29" s="122"/>
    </x:row>
    <x:row r="30">
      <x:c r="A30" s="122"/>
      <x:c r="B30" s="122"/>
      <x:c r="C30" s="122"/>
      <x:c r="D30" s="122"/>
      <x:c r="E30" s="122"/>
      <x:c r="F30" s="122"/>
      <x:c r="G30" s="122"/>
      <x:c r="H30" s="122"/>
    </x:row>
    <x:row r="31">
      <x:c r="A31" s="122"/>
      <x:c r="B31" s="122"/>
      <x:c r="C31" s="122"/>
      <x:c r="D31" s="122"/>
      <x:c r="E31" s="122"/>
      <x:c r="F31" s="122"/>
      <x:c r="G31" s="122"/>
      <x:c r="H31" s="122"/>
    </x:row>
    <x:row r="32">
      <x:c r="A32" s="122"/>
      <x:c r="B32" s="122"/>
      <x:c r="C32" s="122"/>
      <x:c r="D32" s="122"/>
      <x:c r="E32" s="122"/>
      <x:c r="F32" s="122"/>
      <x:c r="G32" s="122"/>
      <x:c r="H32" s="122"/>
    </x:row>
    <x:row r="33">
      <x:c r="A33" s="122"/>
      <x:c r="B33" s="122"/>
      <x:c r="C33" s="122"/>
      <x:c r="D33" s="122"/>
      <x:c r="E33" s="122"/>
      <x:c r="F33" s="122"/>
      <x:c r="G33" s="122"/>
      <x:c r="H33" s="122"/>
    </x:row>
    <x:row r="34">
      <x:c r="A34" s="122"/>
      <x:c r="B34" s="122"/>
      <x:c r="C34" s="122"/>
      <x:c r="D34" s="122"/>
      <x:c r="E34" s="122"/>
      <x:c r="F34" s="122"/>
      <x:c r="G34" s="122"/>
      <x:c r="H34" s="122"/>
    </x:row>
    <x:row r="35">
      <x:c r="A35" s="122"/>
      <x:c r="B35" s="122"/>
      <x:c r="C35" s="122"/>
      <x:c r="D35" s="122"/>
      <x:c r="E35" s="122"/>
      <x:c r="F35" s="122"/>
      <x:c r="G35" s="122"/>
      <x:c r="H35" s="122"/>
    </x:row>
    <x:row r="36">
      <x:c r="A36" s="122"/>
      <x:c r="B36" s="122"/>
      <x:c r="C36" s="122"/>
      <x:c r="D36" s="122"/>
      <x:c r="E36" s="122"/>
      <x:c r="F36" s="122"/>
      <x:c r="G36" s="122"/>
      <x:c r="H36" s="122"/>
    </x:row>
    <x:row r="37">
      <x:c r="A37" s="122"/>
      <x:c r="B37" s="122"/>
      <x:c r="C37" s="122"/>
      <x:c r="D37" s="122"/>
      <x:c r="E37" s="122"/>
      <x:c r="F37" s="122"/>
      <x:c r="G37" s="122"/>
      <x:c r="H37" s="122"/>
    </x:row>
    <x:row r="38">
      <x:c r="A38" s="122"/>
      <x:c r="B38" s="122"/>
      <x:c r="C38" s="122"/>
      <x:c r="D38" s="122"/>
      <x:c r="E38" s="122"/>
      <x:c r="F38" s="122"/>
      <x:c r="G38" s="122"/>
      <x:c r="H38" s="122"/>
    </x:row>
    <x:row r="39">
      <x:c r="A39" s="122"/>
      <x:c r="B39" s="122"/>
      <x:c r="C39" s="122"/>
      <x:c r="D39" s="122"/>
      <x:c r="E39" s="122"/>
      <x:c r="F39" s="122"/>
      <x:c r="G39" s="122"/>
      <x:c r="H39" s="122"/>
    </x:row>
    <x:row r="40">
      <x:c r="A40" s="122"/>
      <x:c r="B40" s="122"/>
      <x:c r="C40" s="122"/>
      <x:c r="D40" s="122"/>
      <x:c r="E40" s="122"/>
      <x:c r="F40" s="122"/>
      <x:c r="G40" s="122"/>
      <x:c r="H40" s="122"/>
    </x:row>
    <x:row r="41">
      <x:c r="A41" s="122"/>
      <x:c r="B41" s="122"/>
      <x:c r="C41" s="122"/>
      <x:c r="D41" s="122"/>
      <x:c r="E41" s="122"/>
      <x:c r="F41" s="122"/>
      <x:c r="G41" s="122"/>
      <x:c r="H41" s="122"/>
    </x:row>
    <x:row r="42">
      <x:c r="A42" s="122"/>
      <x:c r="B42" s="122"/>
      <x:c r="C42" s="122"/>
      <x:c r="D42" s="122"/>
      <x:c r="E42" s="122"/>
      <x:c r="F42" s="122"/>
      <x:c r="G42" s="122"/>
      <x:c r="H42" s="122"/>
    </x:row>
    <x:row r="43">
      <x:c r="A43" s="122"/>
      <x:c r="B43" s="122"/>
      <x:c r="C43" s="122"/>
      <x:c r="D43" s="122"/>
      <x:c r="E43" s="122"/>
      <x:c r="F43" s="122"/>
      <x:c r="G43" s="122"/>
      <x:c r="H43" s="122"/>
    </x:row>
    <x:row r="44">
      <x:c r="A44" s="122"/>
      <x:c r="B44" s="122"/>
      <x:c r="C44" s="122"/>
      <x:c r="D44" s="122"/>
      <x:c r="E44" s="122"/>
      <x:c r="F44" s="122"/>
      <x:c r="G44" s="122"/>
      <x:c r="H44" s="122"/>
    </x:row>
    <x:row r="45">
      <x:c r="A45" s="122"/>
      <x:c r="B45" s="122"/>
      <x:c r="C45" s="122"/>
      <x:c r="D45" s="122"/>
      <x:c r="E45" s="122"/>
      <x:c r="F45" s="122"/>
      <x:c r="G45" s="122"/>
      <x:c r="H45" s="122"/>
    </x:row>
    <x:row r="46">
      <x:c r="A46" s="122"/>
      <x:c r="B46" s="122"/>
      <x:c r="C46" s="122"/>
      <x:c r="D46" s="122"/>
      <x:c r="E46" s="122"/>
      <x:c r="F46" s="122"/>
      <x:c r="G46" s="122"/>
      <x:c r="H46" s="122"/>
    </x:row>
    <x:row r="47">
      <x:c r="A47" s="122"/>
      <x:c r="B47" s="122"/>
      <x:c r="C47" s="122"/>
      <x:c r="D47" s="122"/>
      <x:c r="E47" s="122"/>
      <x:c r="F47" s="122"/>
      <x:c r="G47" s="122"/>
      <x:c r="H47" s="122"/>
    </x:row>
    <x:row r="48">
      <x:c r="A48" s="122"/>
      <x:c r="B48" s="122"/>
      <x:c r="C48" s="122"/>
      <x:c r="D48" s="122"/>
      <x:c r="E48" s="122"/>
      <x:c r="F48" s="122"/>
      <x:c r="G48" s="122"/>
      <x:c r="H48" s="122"/>
    </x:row>
    <x:row r="49">
      <x:c r="A49" s="122"/>
      <x:c r="B49" s="122"/>
      <x:c r="C49" s="122"/>
      <x:c r="D49" s="122"/>
      <x:c r="E49" s="122"/>
      <x:c r="F49" s="122"/>
      <x:c r="G49" s="122"/>
      <x:c r="H49" s="122"/>
    </x:row>
    <x:row r="50">
      <x:c r="A50" s="122"/>
      <x:c r="B50" s="122"/>
      <x:c r="C50" s="122"/>
      <x:c r="D50" s="122"/>
      <x:c r="E50" s="122"/>
      <x:c r="F50" s="122"/>
      <x:c r="G50" s="122"/>
      <x:c r="H50" s="122"/>
    </x:row>
    <x:row r="51">
      <x:c r="A51" s="122"/>
      <x:c r="B51" s="122"/>
      <x:c r="C51" s="122"/>
      <x:c r="D51" s="122"/>
      <x:c r="E51" s="122"/>
      <x:c r="F51" s="122"/>
      <x:c r="G51" s="122"/>
      <x:c r="H51" s="122"/>
    </x:row>
    <x:row r="52">
      <x:c r="A52" s="122"/>
      <x:c r="B52" s="122"/>
      <x:c r="C52" s="122"/>
      <x:c r="D52" s="122"/>
      <x:c r="E52" s="122"/>
      <x:c r="F52" s="122"/>
      <x:c r="G52" s="122"/>
      <x:c r="H52" s="122"/>
    </x:row>
    <x:row r="53">
      <x:c r="A53" s="122"/>
      <x:c r="B53" s="122"/>
      <x:c r="C53" s="122"/>
      <x:c r="D53" s="122"/>
      <x:c r="E53" s="122"/>
      <x:c r="F53" s="122"/>
      <x:c r="G53" s="122"/>
      <x:c r="H53" s="122"/>
    </x:row>
    <x:row r="54">
      <x:c r="A54" s="122"/>
      <x:c r="B54" s="122"/>
      <x:c r="C54" s="122"/>
      <x:c r="D54" s="122"/>
      <x:c r="E54" s="122"/>
      <x:c r="F54" s="122"/>
      <x:c r="G54" s="122"/>
      <x:c r="H54" s="122"/>
    </x:row>
    <x:row r="55">
      <x:c r="A55" s="122"/>
      <x:c r="B55" s="122"/>
      <x:c r="C55" s="122"/>
      <x:c r="D55" s="122"/>
      <x:c r="E55" s="122"/>
      <x:c r="F55" s="122"/>
      <x:c r="G55" s="122"/>
      <x:c r="H55" s="122"/>
    </x:row>
    <x:row r="56">
      <x:c r="A56" s="122"/>
      <x:c r="B56" s="122"/>
      <x:c r="C56" s="122"/>
      <x:c r="D56" s="122"/>
      <x:c r="E56" s="122"/>
      <x:c r="F56" s="122"/>
      <x:c r="G56" s="122"/>
      <x:c r="H56" s="122"/>
    </x:row>
    <x:row r="57">
      <x:c r="A57" s="122"/>
      <x:c r="B57" s="122"/>
      <x:c r="C57" s="122"/>
      <x:c r="D57" s="122"/>
      <x:c r="E57" s="122"/>
      <x:c r="F57" s="122"/>
      <x:c r="G57" s="122"/>
      <x:c r="H57" s="122"/>
    </x:row>
    <x:row r="58">
      <x:c r="A58" s="122"/>
      <x:c r="B58" s="122"/>
      <x:c r="C58" s="122"/>
      <x:c r="D58" s="122"/>
      <x:c r="E58" s="122"/>
      <x:c r="F58" s="122"/>
      <x:c r="G58" s="122"/>
      <x:c r="H58" s="122"/>
    </x:row>
    <x:row r="59">
      <x:c r="A59" s="122"/>
      <x:c r="B59" s="122"/>
      <x:c r="C59" s="122"/>
      <x:c r="D59" s="122"/>
      <x:c r="E59" s="122"/>
      <x:c r="F59" s="122"/>
      <x:c r="G59" s="122"/>
      <x:c r="H59" s="122"/>
    </x:row>
    <x:row r="60">
      <x:c r="A60" s="122"/>
      <x:c r="B60" s="122"/>
      <x:c r="C60" s="122"/>
      <x:c r="D60" s="122"/>
      <x:c r="E60" s="122"/>
      <x:c r="F60" s="122"/>
      <x:c r="G60" s="122"/>
      <x:c r="H60" s="122"/>
    </x:row>
    <x:row r="61">
      <x:c r="A61" s="122"/>
      <x:c r="B61" s="122"/>
      <x:c r="C61" s="122"/>
      <x:c r="D61" s="122"/>
      <x:c r="E61" s="122"/>
      <x:c r="F61" s="122"/>
      <x:c r="G61" s="122"/>
      <x:c r="H61" s="122"/>
    </x:row>
    <x:row r="62">
      <x:c r="A62" s="122"/>
      <x:c r="B62" s="122"/>
      <x:c r="C62" s="122"/>
      <x:c r="D62" s="122"/>
      <x:c r="E62" s="122"/>
      <x:c r="F62" s="122"/>
      <x:c r="G62" s="122"/>
      <x:c r="H62" s="122"/>
    </x:row>
    <x:row r="63">
      <x:c r="A63" s="122"/>
      <x:c r="B63" s="122"/>
      <x:c r="C63" s="122"/>
      <x:c r="D63" s="122"/>
      <x:c r="E63" s="122"/>
      <x:c r="F63" s="122"/>
      <x:c r="G63" s="122"/>
      <x:c r="H63" s="122"/>
    </x:row>
    <x:row r="64">
      <x:c r="A64" s="122"/>
      <x:c r="B64" s="122"/>
      <x:c r="C64" s="122"/>
      <x:c r="D64" s="122"/>
      <x:c r="E64" s="122"/>
      <x:c r="F64" s="122"/>
      <x:c r="G64" s="122"/>
      <x:c r="H64" s="122"/>
    </x:row>
    <x:row r="65">
      <x:c r="A65" s="122"/>
      <x:c r="B65" s="122"/>
      <x:c r="C65" s="122"/>
      <x:c r="D65" s="122"/>
      <x:c r="E65" s="122"/>
      <x:c r="F65" s="122"/>
      <x:c r="G65" s="122"/>
      <x:c r="H65" s="122"/>
    </x:row>
    <x:row r="66">
      <x:c r="A66" s="122"/>
      <x:c r="B66" s="122"/>
      <x:c r="C66" s="122"/>
      <x:c r="D66" s="122"/>
      <x:c r="E66" s="122"/>
      <x:c r="F66" s="122"/>
      <x:c r="G66" s="122"/>
      <x:c r="H66" s="122"/>
    </x:row>
    <x:row r="67">
      <x:c r="A67" s="122"/>
      <x:c r="B67" s="122"/>
      <x:c r="C67" s="122"/>
      <x:c r="D67" s="122"/>
      <x:c r="E67" s="122"/>
      <x:c r="F67" s="122"/>
      <x:c r="G67" s="122"/>
      <x:c r="H67" s="122"/>
    </x:row>
    <x:row r="68">
      <x:c r="A68" s="122"/>
      <x:c r="B68" s="122"/>
      <x:c r="C68" s="122"/>
      <x:c r="D68" s="122"/>
      <x:c r="E68" s="122"/>
      <x:c r="F68" s="122"/>
      <x:c r="G68" s="122"/>
      <x:c r="H68" s="122"/>
    </x:row>
    <x:row r="69">
      <x:c r="A69" s="122"/>
      <x:c r="B69" s="122"/>
      <x:c r="C69" s="122"/>
      <x:c r="D69" s="122"/>
      <x:c r="E69" s="122"/>
      <x:c r="F69" s="122"/>
      <x:c r="G69" s="122"/>
      <x:c r="H69" s="122"/>
    </x:row>
    <x:row r="70">
      <x:c r="A70" s="122"/>
      <x:c r="B70" s="122"/>
      <x:c r="C70" s="122"/>
      <x:c r="D70" s="122"/>
      <x:c r="E70" s="122"/>
      <x:c r="F70" s="122"/>
      <x:c r="G70" s="122"/>
      <x:c r="H70" s="122"/>
    </x:row>
    <x:row r="71">
      <x:c r="A71" s="122"/>
      <x:c r="B71" s="122"/>
      <x:c r="C71" s="122"/>
      <x:c r="D71" s="122"/>
      <x:c r="E71" s="122"/>
      <x:c r="F71" s="122"/>
      <x:c r="G71" s="122"/>
      <x:c r="H71" s="122"/>
    </x:row>
    <x:row r="72">
      <x:c r="A72" s="122"/>
      <x:c r="B72" s="122"/>
      <x:c r="C72" s="122"/>
      <x:c r="D72" s="122"/>
      <x:c r="E72" s="122"/>
      <x:c r="F72" s="122"/>
      <x:c r="G72" s="122"/>
      <x:c r="H72" s="122"/>
    </x:row>
    <x:row r="73">
      <x:c r="A73" s="122"/>
      <x:c r="B73" s="122"/>
      <x:c r="C73" s="122"/>
      <x:c r="D73" s="122"/>
      <x:c r="E73" s="122"/>
      <x:c r="F73" s="122"/>
      <x:c r="G73" s="122"/>
      <x:c r="H73" s="122"/>
    </x:row>
    <x:row r="74">
      <x:c r="A74" s="122"/>
      <x:c r="B74" s="122"/>
      <x:c r="C74" s="122"/>
      <x:c r="D74" s="122"/>
      <x:c r="E74" s="122"/>
      <x:c r="F74" s="122"/>
      <x:c r="G74" s="122"/>
      <x:c r="H74" s="122"/>
    </x:row>
    <x:row r="75">
      <x:c r="A75" s="122"/>
      <x:c r="B75" s="122"/>
      <x:c r="C75" s="122"/>
      <x:c r="D75" s="122"/>
      <x:c r="E75" s="122"/>
      <x:c r="F75" s="122"/>
      <x:c r="G75" s="122"/>
      <x:c r="H75" s="122"/>
    </x:row>
    <x:row r="76">
      <x:c r="A76" s="122"/>
      <x:c r="B76" s="122"/>
      <x:c r="C76" s="122"/>
      <x:c r="D76" s="122"/>
      <x:c r="E76" s="122"/>
      <x:c r="F76" s="122"/>
      <x:c r="G76" s="122"/>
      <x:c r="H76" s="122"/>
    </x:row>
    <x:row r="77">
      <x:c r="A77" s="122"/>
      <x:c r="B77" s="122"/>
      <x:c r="C77" s="122"/>
      <x:c r="D77" s="122"/>
      <x:c r="E77" s="122"/>
      <x:c r="F77" s="122"/>
      <x:c r="G77" s="122"/>
      <x:c r="H77" s="122"/>
    </x:row>
    <x:row r="78">
      <x:c r="A78" s="122"/>
      <x:c r="B78" s="122"/>
      <x:c r="C78" s="122"/>
      <x:c r="D78" s="122"/>
      <x:c r="E78" s="122"/>
      <x:c r="F78" s="122"/>
      <x:c r="G78" s="122"/>
      <x:c r="H78" s="122"/>
    </x:row>
    <x:row r="79">
      <x:c r="A79" s="122"/>
      <x:c r="B79" s="122"/>
      <x:c r="C79" s="122"/>
      <x:c r="D79" s="122"/>
      <x:c r="E79" s="122"/>
      <x:c r="F79" s="122"/>
      <x:c r="G79" s="122"/>
      <x:c r="H79" s="122"/>
    </x:row>
    <x:row r="80">
      <x:c r="A80" s="122"/>
      <x:c r="B80" s="122"/>
      <x:c r="C80" s="122"/>
      <x:c r="D80" s="122"/>
      <x:c r="E80" s="122"/>
      <x:c r="F80" s="122"/>
      <x:c r="G80" s="122"/>
      <x:c r="H80" s="122"/>
    </x:row>
  </x:sheetData>
  <x:mergeCells>
    <x:mergeCell ref="A1:E1"/>
    <x:mergeCell ref="A2:E3"/>
    <x:mergeCell ref="A5:E5"/>
    <x:mergeCell ref="A9:E10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14" hidden="0" customWidth="1"/>
    <x:col min="4" max="4" width="38" hidden="0" customWidth="1"/>
    <x:col min="5" max="5" width="14" hidden="0" customWidth="1"/>
    <x:col min="6" max="6" width="14" hidden="0" customWidth="1"/>
    <x:col min="7" max="7" width="48" hidden="0" customWidth="1"/>
    <x:col min="8" max="8" width="26" hidden="0" customWidth="1"/>
  </x:cols>
  <x:sheetData>
    <x:row r="1" ht="28" customHeight="1">
      <x:c r="A1" s="6" t="str">
        <x:v>Step 4 — Monthly Instalment Payment Received</x:v>
      </x:c>
      <x:c r="B1" s="6"/>
      <x:c r="C1" s="6"/>
      <x:c r="D1" s="6"/>
      <x:c r="E1" s="6"/>
      <x:c r="F1" s="6"/>
      <x:c r="G1" s="6"/>
      <x:c r="H1" s="6"/>
    </x:row>
    <x:row r="2" ht="44" customHeight="1">
      <x:c r="A2" s="121" t="str">
        <x:v>Each monthly payment follows the same logic as the deposit.</x:v>
      </x:c>
      <x:c r="B2" s="121"/>
      <x:c r="C2" s="121"/>
      <x:c r="D2" s="121"/>
      <x:c r="E2" s="121"/>
      <x:c r="F2" s="121"/>
      <x:c r="G2" s="121"/>
      <x:c r="H2" s="121"/>
    </x:row>
    <x:row r="3" ht="44" customHeight="1">
      <x:c r="A3" s="121"/>
      <x:c r="B3" s="121"/>
      <x:c r="C3" s="121"/>
      <x:c r="D3" s="121"/>
      <x:c r="E3" s="121"/>
      <x:c r="F3" s="121"/>
      <x:c r="G3" s="121"/>
      <x:c r="H3" s="121"/>
    </x:row>
    <x:row r="4">
      <x:c r="A4" s="122"/>
      <x:c r="B4" s="122"/>
      <x:c r="C4" s="122"/>
      <x:c r="D4" s="122"/>
      <x:c r="E4" s="122"/>
      <x:c r="F4" s="122"/>
      <x:c r="G4" s="122"/>
      <x:c r="H4" s="122"/>
    </x:row>
    <x:row r="5">
      <x:c r="A5" s="135" t="str">
        <x:v>Monthly instalment split</x:v>
      </x:c>
      <x:c r="B5" s="135"/>
      <x:c r="C5" s="135"/>
      <x:c r="D5" s="135"/>
      <x:c r="E5" s="122"/>
      <x:c r="F5" s="122"/>
      <x:c r="G5" s="122"/>
      <x:c r="H5" s="122"/>
    </x:row>
    <x:row r="6">
      <x:c r="A6" s="123" t="str">
        <x:v>Item</x:v>
      </x:c>
      <x:c r="B6" s="124" t="str">
        <x:v>Value</x:v>
      </x:c>
      <x:c r="C6" s="124" t="str">
        <x:v>Formula / Basis</x:v>
      </x:c>
      <x:c r="D6" s="125" t="str">
        <x:v>Comment</x:v>
      </x:c>
      <x:c r="E6" s="122"/>
      <x:c r="F6" s="122"/>
      <x:c r="G6" s="122"/>
      <x:c r="H6" s="122"/>
    </x:row>
    <x:row r="7">
      <x:c r="A7" s="126" t="str">
        <x:v>Net portion</x:v>
      </x:c>
      <x:c r="B7" s="127" t="n">
        <x:f>'01 Assumptions'!B13</x:f>
        <x:v>1000</x:v>
      </x:c>
      <x:c r="C7" s="128" t="str">
        <x:v>Assumptions B13</x:v>
      </x:c>
      <x:c r="D7" s="129" t="str">
        <x:v>Revenue component</x:v>
      </x:c>
      <x:c r="E7" s="122"/>
      <x:c r="F7" s="122"/>
      <x:c r="G7" s="122"/>
      <x:c r="H7" s="122"/>
    </x:row>
    <x:row r="8">
      <x:c r="A8" s="126" t="str">
        <x:v>VAT portion</x:v>
      </x:c>
      <x:c r="B8" s="127" t="n">
        <x:f>'01 Assumptions'!B14</x:f>
        <x:v>155</x:v>
      </x:c>
      <x:c r="C8" s="128" t="str">
        <x:v>Assumptions B14</x:v>
      </x:c>
      <x:c r="D8" s="129" t="str">
        <x:v>VAT component</x:v>
      </x:c>
      <x:c r="E8" s="122"/>
      <x:c r="F8" s="122"/>
      <x:c r="G8" s="122"/>
      <x:c r="H8" s="122"/>
    </x:row>
    <x:row r="9">
      <x:c r="A9" s="131" t="str">
        <x:v>Gross monthly receipt</x:v>
      </x:c>
      <x:c r="B9" s="132" t="n">
        <x:f>'01 Assumptions'!B15</x:f>
        <x:v>1155</x:v>
      </x:c>
      <x:c r="C9" s="133" t="str">
        <x:v>Assumptions B15</x:v>
      </x:c>
      <x:c r="D9" s="134" t="str">
        <x:v>Cash received</x:v>
      </x:c>
      <x:c r="E9" s="122"/>
      <x:c r="F9" s="122"/>
      <x:c r="G9" s="122"/>
      <x:c r="H9" s="122"/>
    </x:row>
    <x:row r="10">
      <x:c r="A10" s="122" t="str">
        <x:v>Monthly COS</x:v>
      </x:c>
      <x:c r="B10" s="162" t="n">
        <x:f>'01 Assumptions'!B19</x:f>
        <x:v>400</x:v>
      </x:c>
      <x:c r="C10" s="122" t="str">
        <x:v>Assumptions B19</x:v>
      </x:c>
      <x:c r="D10" s="122" t="str">
        <x:v>Cost of sales</x:v>
      </x:c>
      <x:c r="E10" s="122"/>
      <x:c r="F10" s="122"/>
      <x:c r="G10" s="122"/>
      <x:c r="H10" s="122"/>
    </x:row>
    <x:row r="11">
      <x:c r="A11" s="122"/>
      <x:c r="B11" s="122"/>
      <x:c r="C11" s="122"/>
      <x:c r="D11" s="122"/>
      <x:c r="E11" s="122"/>
      <x:c r="F11" s="122"/>
      <x:c r="G11" s="122"/>
      <x:c r="H11" s="122"/>
    </x:row>
    <x:row r="12">
      <x:c r="A12" s="135" t="str">
        <x:v>JE 1 — Receipt of monthly instalment</x:v>
      </x:c>
      <x:c r="B12" s="135"/>
      <x:c r="C12" s="135"/>
      <x:c r="D12" s="135"/>
      <x:c r="E12" s="135"/>
      <x:c r="F12" s="135"/>
      <x:c r="G12" s="135"/>
      <x:c r="H12" s="135"/>
    </x:row>
    <x:row r="13">
      <x:c r="A13" s="163" t="str">
        <x:v>Date</x:v>
      </x:c>
      <x:c r="B13" s="164" t="str">
        <x:v>Debit Account</x:v>
      </x:c>
      <x:c r="C13" s="164" t="str">
        <x:v>Debit Code</x:v>
      </x:c>
      <x:c r="D13" s="164" t="str">
        <x:v>Credit Account</x:v>
      </x:c>
      <x:c r="E13" s="164" t="str">
        <x:v>Credit Code</x:v>
      </x:c>
      <x:c r="F13" s="164" t="str">
        <x:v>Debit Amount</x:v>
      </x:c>
      <x:c r="G13" s="164" t="str">
        <x:v>Credit Amount</x:v>
      </x:c>
      <x:c r="H13" s="165" t="str">
        <x:v>Narrative</x:v>
      </x:c>
    </x:row>
    <x:row r="14">
      <x:c r="A14" s="122" t="str">
        <x:v>Payment date</x:v>
      </x:c>
      <x:c r="B14" s="122" t="str">
        <x:v>CABS - Main USD Current Account - 1129888509</x:v>
      </x:c>
      <x:c r="C14" s="122" t="str">
        <x:v>101410</x:v>
      </x:c>
      <x:c r="D14" s="122" t="str">
        <x:v>Account Receivable</x:v>
      </x:c>
      <x:c r="E14" s="122" t="str">
        <x:v>121000</x:v>
      </x:c>
      <x:c r="F14" s="162" t="n">
        <x:f>'01 Assumptions'!B15</x:f>
        <x:v>1155</x:v>
      </x:c>
      <x:c r="G14" s="162" t="n">
        <x:f>'01 Assumptions'!B15</x:f>
        <x:v>1155</x:v>
      </x:c>
      <x:c r="H14" s="122" t="str">
        <x:v>Monthly instalment received; reduces gross customer receivable</x:v>
      </x:c>
    </x:row>
    <x:row r="15">
      <x:c r="A15" s="122"/>
      <x:c r="B15" s="122"/>
      <x:c r="C15" s="122"/>
      <x:c r="D15" s="122"/>
      <x:c r="E15" s="122"/>
      <x:c r="F15" s="122"/>
      <x:c r="G15" s="122"/>
      <x:c r="H15" s="122"/>
    </x:row>
    <x:row r="16">
      <x:c r="A16" s="135" t="str">
        <x:v>JE 2 — Revenue and VAT release</x:v>
      </x:c>
      <x:c r="B16" s="135"/>
      <x:c r="C16" s="135"/>
      <x:c r="D16" s="135"/>
      <x:c r="E16" s="135"/>
      <x:c r="F16" s="135"/>
      <x:c r="G16" s="135"/>
      <x:c r="H16" s="135"/>
    </x:row>
    <x:row r="17">
      <x:c r="A17" s="123" t="str">
        <x:v>Date</x:v>
      </x:c>
      <x:c r="B17" s="124" t="str">
        <x:v>Debit Account</x:v>
      </x:c>
      <x:c r="C17" s="124" t="str">
        <x:v>Debit Code</x:v>
      </x:c>
      <x:c r="D17" s="124" t="str">
        <x:v>Credit Account</x:v>
      </x:c>
      <x:c r="E17" s="124" t="str">
        <x:v>Credit Code</x:v>
      </x:c>
      <x:c r="F17" s="124" t="str">
        <x:v>Debit Amount</x:v>
      </x:c>
      <x:c r="G17" s="124" t="str">
        <x:v>Credit Amount</x:v>
      </x:c>
      <x:c r="H17" s="125" t="str">
        <x:v>Narrative</x:v>
      </x:c>
    </x:row>
    <x:row r="18">
      <x:c r="A18" s="131" t="str">
        <x:v>Payment date</x:v>
      </x:c>
      <x:c r="B18" s="133" t="str">
        <x:v>Contract Liabilities - Customer Deposits / Instalments</x:v>
      </x:c>
      <x:c r="C18" s="133" t="str">
        <x:v>212010</x:v>
      </x:c>
      <x:c r="D18" s="133" t="str">
        <x:v>Revenue - Residential Stand Sales</x:v>
      </x:c>
      <x:c r="E18" s="133" t="str">
        <x:v>401000</x:v>
      </x:c>
      <x:c r="F18" s="132" t="n">
        <x:f>'01 Assumptions'!B13</x:f>
        <x:v>1000</x:v>
      </x:c>
      <x:c r="G18" s="132" t="n">
        <x:f>'01 Assumptions'!B13</x:f>
        <x:v>1000</x:v>
      </x:c>
      <x:c r="H18" s="134" t="str">
        <x:v>Release net monthly portion to revenue</x:v>
      </x:c>
    </x:row>
    <x:row r="19">
      <x:c r="A19" s="122" t="str">
        <x:v>Payment date</x:v>
      </x:c>
      <x:c r="B19" s="122" t="str">
        <x:v>Deferred Output VAT</x:v>
      </x:c>
      <x:c r="C19" s="122" t="str">
        <x:v>251020</x:v>
      </x:c>
      <x:c r="D19" s="122" t="str">
        <x:v>VAT Output - ZIMRA</x:v>
      </x:c>
      <x:c r="E19" s="122" t="str">
        <x:v>251010</x:v>
      </x:c>
      <x:c r="F19" s="162" t="n">
        <x:f>'01 Assumptions'!B14</x:f>
        <x:v>155</x:v>
      </x:c>
      <x:c r="G19" s="162" t="n">
        <x:f>'01 Assumptions'!B14</x:f>
        <x:v>155</x:v>
      </x:c>
      <x:c r="H19" s="122" t="str">
        <x:v>Move monthly VAT portion to VAT payable</x:v>
      </x:c>
    </x:row>
    <x:row r="20">
      <x:c r="A20" s="122"/>
      <x:c r="B20" s="122"/>
      <x:c r="C20" s="122"/>
      <x:c r="D20" s="122"/>
      <x:c r="E20" s="122"/>
      <x:c r="F20" s="122"/>
      <x:c r="G20" s="122"/>
      <x:c r="H20" s="122"/>
    </x:row>
    <x:row r="21">
      <x:c r="A21" s="135" t="str">
        <x:v>JE 3 — COS on monthly instalment</x:v>
      </x:c>
      <x:c r="B21" s="135"/>
      <x:c r="C21" s="135"/>
      <x:c r="D21" s="135"/>
      <x:c r="E21" s="135"/>
      <x:c r="F21" s="135"/>
      <x:c r="G21" s="135"/>
      <x:c r="H21" s="135"/>
    </x:row>
    <x:row r="22">
      <x:c r="A22" s="163" t="str">
        <x:v>Date</x:v>
      </x:c>
      <x:c r="B22" s="164" t="str">
        <x:v>Debit Account</x:v>
      </x:c>
      <x:c r="C22" s="164" t="str">
        <x:v>Debit Code</x:v>
      </x:c>
      <x:c r="D22" s="164" t="str">
        <x:v>Credit Account</x:v>
      </x:c>
      <x:c r="E22" s="164" t="str">
        <x:v>Credit Code</x:v>
      </x:c>
      <x:c r="F22" s="164" t="str">
        <x:v>Debit Amount</x:v>
      </x:c>
      <x:c r="G22" s="164" t="str">
        <x:v>Credit Amount</x:v>
      </x:c>
      <x:c r="H22" s="165" t="str">
        <x:v>Narrative</x:v>
      </x:c>
    </x:row>
    <x:row r="23">
      <x:c r="A23" s="122" t="str">
        <x:v>Payment date</x:v>
      </x:c>
      <x:c r="B23" s="122" t="str">
        <x:v>COS - Residential Stands</x:v>
      </x:c>
      <x:c r="C23" s="122" t="str">
        <x:v>501000</x:v>
      </x:c>
      <x:c r="D23" s="122" t="str">
        <x:v>Inventory - Active Allocated Stands</x:v>
      </x:c>
      <x:c r="E23" s="122" t="str">
        <x:v>110120</x:v>
      </x:c>
      <x:c r="F23" s="162" t="n">
        <x:f>'01 Assumptions'!B19</x:f>
        <x:v>400</x:v>
      </x:c>
      <x:c r="G23" s="162" t="n">
        <x:f>'01 Assumptions'!B19</x:f>
        <x:v>400</x:v>
      </x:c>
      <x:c r="H23" s="122" t="str">
        <x:v>Recognize monthly COS based on stand cost master</x:v>
      </x:c>
    </x:row>
    <x:row r="24">
      <x:c r="A24" s="122"/>
      <x:c r="B24" s="122"/>
      <x:c r="C24" s="122"/>
      <x:c r="D24" s="122"/>
      <x:c r="E24" s="122"/>
      <x:c r="F24" s="122"/>
      <x:c r="G24" s="122"/>
      <x:c r="H24" s="122"/>
    </x:row>
    <x:row r="25">
      <x:c r="A25" s="122"/>
      <x:c r="B25" s="122"/>
      <x:c r="C25" s="122"/>
      <x:c r="D25" s="122"/>
      <x:c r="E25" s="122"/>
      <x:c r="F25" s="122"/>
      <x:c r="G25" s="122"/>
      <x:c r="H25" s="122"/>
    </x:row>
    <x:row r="26">
      <x:c r="A26" s="122"/>
      <x:c r="B26" s="122"/>
      <x:c r="C26" s="122"/>
      <x:c r="D26" s="122"/>
      <x:c r="E26" s="122"/>
      <x:c r="F26" s="122"/>
      <x:c r="G26" s="122"/>
      <x:c r="H26" s="122"/>
    </x:row>
    <x:row r="27">
      <x:c r="A27" s="122"/>
      <x:c r="B27" s="122"/>
      <x:c r="C27" s="122"/>
      <x:c r="D27" s="122"/>
      <x:c r="E27" s="122"/>
      <x:c r="F27" s="122"/>
      <x:c r="G27" s="122"/>
      <x:c r="H27" s="122"/>
    </x:row>
    <x:row r="28">
      <x:c r="A28" s="122"/>
      <x:c r="B28" s="122"/>
      <x:c r="C28" s="122"/>
      <x:c r="D28" s="122"/>
      <x:c r="E28" s="122"/>
      <x:c r="F28" s="122"/>
      <x:c r="G28" s="122"/>
      <x:c r="H28" s="122"/>
    </x:row>
    <x:row r="29">
      <x:c r="A29" s="122"/>
      <x:c r="B29" s="122"/>
      <x:c r="C29" s="122"/>
      <x:c r="D29" s="122"/>
      <x:c r="E29" s="122"/>
      <x:c r="F29" s="122"/>
      <x:c r="G29" s="122"/>
      <x:c r="H29" s="122"/>
    </x:row>
    <x:row r="30">
      <x:c r="A30" s="122"/>
      <x:c r="B30" s="122"/>
      <x:c r="C30" s="122"/>
      <x:c r="D30" s="122"/>
      <x:c r="E30" s="122"/>
      <x:c r="F30" s="122"/>
      <x:c r="G30" s="122"/>
      <x:c r="H30" s="122"/>
    </x:row>
    <x:row r="31">
      <x:c r="A31" s="122"/>
      <x:c r="B31" s="122"/>
      <x:c r="C31" s="122"/>
      <x:c r="D31" s="122"/>
      <x:c r="E31" s="122"/>
      <x:c r="F31" s="122"/>
      <x:c r="G31" s="122"/>
      <x:c r="H31" s="122"/>
    </x:row>
    <x:row r="32">
      <x:c r="A32" s="122"/>
      <x:c r="B32" s="122"/>
      <x:c r="C32" s="122"/>
      <x:c r="D32" s="122"/>
      <x:c r="E32" s="122"/>
      <x:c r="F32" s="122"/>
      <x:c r="G32" s="122"/>
      <x:c r="H32" s="122"/>
    </x:row>
    <x:row r="33">
      <x:c r="A33" s="122"/>
      <x:c r="B33" s="122"/>
      <x:c r="C33" s="122"/>
      <x:c r="D33" s="122"/>
      <x:c r="E33" s="122"/>
      <x:c r="F33" s="122"/>
      <x:c r="G33" s="122"/>
      <x:c r="H33" s="122"/>
    </x:row>
    <x:row r="34">
      <x:c r="A34" s="122"/>
      <x:c r="B34" s="122"/>
      <x:c r="C34" s="122"/>
      <x:c r="D34" s="122"/>
      <x:c r="E34" s="122"/>
      <x:c r="F34" s="122"/>
      <x:c r="G34" s="122"/>
      <x:c r="H34" s="122"/>
    </x:row>
    <x:row r="35">
      <x:c r="A35" s="122"/>
      <x:c r="B35" s="122"/>
      <x:c r="C35" s="122"/>
      <x:c r="D35" s="122"/>
      <x:c r="E35" s="122"/>
      <x:c r="F35" s="122"/>
      <x:c r="G35" s="122"/>
      <x:c r="H35" s="122"/>
    </x:row>
    <x:row r="36">
      <x:c r="A36" s="122"/>
      <x:c r="B36" s="122"/>
      <x:c r="C36" s="122"/>
      <x:c r="D36" s="122"/>
      <x:c r="E36" s="122"/>
      <x:c r="F36" s="122"/>
      <x:c r="G36" s="122"/>
      <x:c r="H36" s="122"/>
    </x:row>
    <x:row r="37">
      <x:c r="A37" s="122"/>
      <x:c r="B37" s="122"/>
      <x:c r="C37" s="122"/>
      <x:c r="D37" s="122"/>
      <x:c r="E37" s="122"/>
      <x:c r="F37" s="122"/>
      <x:c r="G37" s="122"/>
      <x:c r="H37" s="122"/>
    </x:row>
    <x:row r="38">
      <x:c r="A38" s="122"/>
      <x:c r="B38" s="122"/>
      <x:c r="C38" s="122"/>
      <x:c r="D38" s="122"/>
      <x:c r="E38" s="122"/>
      <x:c r="F38" s="122"/>
      <x:c r="G38" s="122"/>
      <x:c r="H38" s="122"/>
    </x:row>
    <x:row r="39">
      <x:c r="A39" s="122"/>
      <x:c r="B39" s="122"/>
      <x:c r="C39" s="122"/>
      <x:c r="D39" s="122"/>
      <x:c r="E39" s="122"/>
      <x:c r="F39" s="122"/>
      <x:c r="G39" s="122"/>
      <x:c r="H39" s="122"/>
    </x:row>
    <x:row r="40">
      <x:c r="A40" s="122"/>
      <x:c r="B40" s="122"/>
      <x:c r="C40" s="122"/>
      <x:c r="D40" s="122"/>
      <x:c r="E40" s="122"/>
      <x:c r="F40" s="122"/>
      <x:c r="G40" s="122"/>
      <x:c r="H40" s="122"/>
    </x:row>
    <x:row r="41">
      <x:c r="A41" s="122"/>
      <x:c r="B41" s="122"/>
      <x:c r="C41" s="122"/>
      <x:c r="D41" s="122"/>
      <x:c r="E41" s="122"/>
      <x:c r="F41" s="122"/>
      <x:c r="G41" s="122"/>
      <x:c r="H41" s="122"/>
    </x:row>
    <x:row r="42">
      <x:c r="A42" s="122"/>
      <x:c r="B42" s="122"/>
      <x:c r="C42" s="122"/>
      <x:c r="D42" s="122"/>
      <x:c r="E42" s="122"/>
      <x:c r="F42" s="122"/>
      <x:c r="G42" s="122"/>
      <x:c r="H42" s="122"/>
    </x:row>
    <x:row r="43">
      <x:c r="A43" s="122"/>
      <x:c r="B43" s="122"/>
      <x:c r="C43" s="122"/>
      <x:c r="D43" s="122"/>
      <x:c r="E43" s="122"/>
      <x:c r="F43" s="122"/>
      <x:c r="G43" s="122"/>
      <x:c r="H43" s="122"/>
    </x:row>
    <x:row r="44">
      <x:c r="A44" s="122"/>
      <x:c r="B44" s="122"/>
      <x:c r="C44" s="122"/>
      <x:c r="D44" s="122"/>
      <x:c r="E44" s="122"/>
      <x:c r="F44" s="122"/>
      <x:c r="G44" s="122"/>
      <x:c r="H44" s="122"/>
    </x:row>
    <x:row r="45">
      <x:c r="A45" s="122"/>
      <x:c r="B45" s="122"/>
      <x:c r="C45" s="122"/>
      <x:c r="D45" s="122"/>
      <x:c r="E45" s="122"/>
      <x:c r="F45" s="122"/>
      <x:c r="G45" s="122"/>
      <x:c r="H45" s="122"/>
    </x:row>
    <x:row r="46">
      <x:c r="A46" s="122"/>
      <x:c r="B46" s="122"/>
      <x:c r="C46" s="122"/>
      <x:c r="D46" s="122"/>
      <x:c r="E46" s="122"/>
      <x:c r="F46" s="122"/>
      <x:c r="G46" s="122"/>
      <x:c r="H46" s="122"/>
    </x:row>
    <x:row r="47">
      <x:c r="A47" s="122"/>
      <x:c r="B47" s="122"/>
      <x:c r="C47" s="122"/>
      <x:c r="D47" s="122"/>
      <x:c r="E47" s="122"/>
      <x:c r="F47" s="122"/>
      <x:c r="G47" s="122"/>
      <x:c r="H47" s="122"/>
    </x:row>
    <x:row r="48">
      <x:c r="A48" s="122"/>
      <x:c r="B48" s="122"/>
      <x:c r="C48" s="122"/>
      <x:c r="D48" s="122"/>
      <x:c r="E48" s="122"/>
      <x:c r="F48" s="122"/>
      <x:c r="G48" s="122"/>
      <x:c r="H48" s="122"/>
    </x:row>
    <x:row r="49">
      <x:c r="A49" s="122"/>
      <x:c r="B49" s="122"/>
      <x:c r="C49" s="122"/>
      <x:c r="D49" s="122"/>
      <x:c r="E49" s="122"/>
      <x:c r="F49" s="122"/>
      <x:c r="G49" s="122"/>
      <x:c r="H49" s="122"/>
    </x:row>
    <x:row r="50">
      <x:c r="A50" s="122"/>
      <x:c r="B50" s="122"/>
      <x:c r="C50" s="122"/>
      <x:c r="D50" s="122"/>
      <x:c r="E50" s="122"/>
      <x:c r="F50" s="122"/>
      <x:c r="G50" s="122"/>
      <x:c r="H50" s="122"/>
    </x:row>
    <x:row r="51">
      <x:c r="A51" s="122"/>
      <x:c r="B51" s="122"/>
      <x:c r="C51" s="122"/>
      <x:c r="D51" s="122"/>
      <x:c r="E51" s="122"/>
      <x:c r="F51" s="122"/>
      <x:c r="G51" s="122"/>
      <x:c r="H51" s="122"/>
    </x:row>
    <x:row r="52">
      <x:c r="A52" s="122"/>
      <x:c r="B52" s="122"/>
      <x:c r="C52" s="122"/>
      <x:c r="D52" s="122"/>
      <x:c r="E52" s="122"/>
      <x:c r="F52" s="122"/>
      <x:c r="G52" s="122"/>
      <x:c r="H52" s="122"/>
    </x:row>
    <x:row r="53">
      <x:c r="A53" s="122"/>
      <x:c r="B53" s="122"/>
      <x:c r="C53" s="122"/>
      <x:c r="D53" s="122"/>
      <x:c r="E53" s="122"/>
      <x:c r="F53" s="122"/>
      <x:c r="G53" s="122"/>
      <x:c r="H53" s="122"/>
    </x:row>
    <x:row r="54">
      <x:c r="A54" s="122"/>
      <x:c r="B54" s="122"/>
      <x:c r="C54" s="122"/>
      <x:c r="D54" s="122"/>
      <x:c r="E54" s="122"/>
      <x:c r="F54" s="122"/>
      <x:c r="G54" s="122"/>
      <x:c r="H54" s="122"/>
    </x:row>
    <x:row r="55">
      <x:c r="A55" s="122"/>
      <x:c r="B55" s="122"/>
      <x:c r="C55" s="122"/>
      <x:c r="D55" s="122"/>
      <x:c r="E55" s="122"/>
      <x:c r="F55" s="122"/>
      <x:c r="G55" s="122"/>
      <x:c r="H55" s="122"/>
    </x:row>
    <x:row r="56">
      <x:c r="A56" s="122"/>
      <x:c r="B56" s="122"/>
      <x:c r="C56" s="122"/>
      <x:c r="D56" s="122"/>
      <x:c r="E56" s="122"/>
      <x:c r="F56" s="122"/>
      <x:c r="G56" s="122"/>
      <x:c r="H56" s="122"/>
    </x:row>
    <x:row r="57">
      <x:c r="A57" s="122"/>
      <x:c r="B57" s="122"/>
      <x:c r="C57" s="122"/>
      <x:c r="D57" s="122"/>
      <x:c r="E57" s="122"/>
      <x:c r="F57" s="122"/>
      <x:c r="G57" s="122"/>
      <x:c r="H57" s="122"/>
    </x:row>
    <x:row r="58">
      <x:c r="A58" s="122"/>
      <x:c r="B58" s="122"/>
      <x:c r="C58" s="122"/>
      <x:c r="D58" s="122"/>
      <x:c r="E58" s="122"/>
      <x:c r="F58" s="122"/>
      <x:c r="G58" s="122"/>
      <x:c r="H58" s="122"/>
    </x:row>
    <x:row r="59">
      <x:c r="A59" s="122"/>
      <x:c r="B59" s="122"/>
      <x:c r="C59" s="122"/>
      <x:c r="D59" s="122"/>
      <x:c r="E59" s="122"/>
      <x:c r="F59" s="122"/>
      <x:c r="G59" s="122"/>
      <x:c r="H59" s="122"/>
    </x:row>
    <x:row r="60">
      <x:c r="A60" s="122"/>
      <x:c r="B60" s="122"/>
      <x:c r="C60" s="122"/>
      <x:c r="D60" s="122"/>
      <x:c r="E60" s="122"/>
      <x:c r="F60" s="122"/>
      <x:c r="G60" s="122"/>
      <x:c r="H60" s="122"/>
    </x:row>
    <x:row r="61">
      <x:c r="A61" s="122"/>
      <x:c r="B61" s="122"/>
      <x:c r="C61" s="122"/>
      <x:c r="D61" s="122"/>
      <x:c r="E61" s="122"/>
      <x:c r="F61" s="122"/>
      <x:c r="G61" s="122"/>
      <x:c r="H61" s="122"/>
    </x:row>
    <x:row r="62">
      <x:c r="A62" s="122"/>
      <x:c r="B62" s="122"/>
      <x:c r="C62" s="122"/>
      <x:c r="D62" s="122"/>
      <x:c r="E62" s="122"/>
      <x:c r="F62" s="122"/>
      <x:c r="G62" s="122"/>
      <x:c r="H62" s="122"/>
    </x:row>
    <x:row r="63">
      <x:c r="A63" s="122"/>
      <x:c r="B63" s="122"/>
      <x:c r="C63" s="122"/>
      <x:c r="D63" s="122"/>
      <x:c r="E63" s="122"/>
      <x:c r="F63" s="122"/>
      <x:c r="G63" s="122"/>
      <x:c r="H63" s="122"/>
    </x:row>
    <x:row r="64">
      <x:c r="A64" s="122"/>
      <x:c r="B64" s="122"/>
      <x:c r="C64" s="122"/>
      <x:c r="D64" s="122"/>
      <x:c r="E64" s="122"/>
      <x:c r="F64" s="122"/>
      <x:c r="G64" s="122"/>
      <x:c r="H64" s="122"/>
    </x:row>
    <x:row r="65">
      <x:c r="A65" s="122"/>
      <x:c r="B65" s="122"/>
      <x:c r="C65" s="122"/>
      <x:c r="D65" s="122"/>
      <x:c r="E65" s="122"/>
      <x:c r="F65" s="122"/>
      <x:c r="G65" s="122"/>
      <x:c r="H65" s="122"/>
    </x:row>
    <x:row r="66">
      <x:c r="A66" s="122"/>
      <x:c r="B66" s="122"/>
      <x:c r="C66" s="122"/>
      <x:c r="D66" s="122"/>
      <x:c r="E66" s="122"/>
      <x:c r="F66" s="122"/>
      <x:c r="G66" s="122"/>
      <x:c r="H66" s="122"/>
    </x:row>
    <x:row r="67">
      <x:c r="A67" s="122"/>
      <x:c r="B67" s="122"/>
      <x:c r="C67" s="122"/>
      <x:c r="D67" s="122"/>
      <x:c r="E67" s="122"/>
      <x:c r="F67" s="122"/>
      <x:c r="G67" s="122"/>
      <x:c r="H67" s="122"/>
    </x:row>
    <x:row r="68">
      <x:c r="A68" s="122"/>
      <x:c r="B68" s="122"/>
      <x:c r="C68" s="122"/>
      <x:c r="D68" s="122"/>
      <x:c r="E68" s="122"/>
      <x:c r="F68" s="122"/>
      <x:c r="G68" s="122"/>
      <x:c r="H68" s="122"/>
    </x:row>
    <x:row r="69">
      <x:c r="A69" s="122"/>
      <x:c r="B69" s="122"/>
      <x:c r="C69" s="122"/>
      <x:c r="D69" s="122"/>
      <x:c r="E69" s="122"/>
      <x:c r="F69" s="122"/>
      <x:c r="G69" s="122"/>
      <x:c r="H69" s="122"/>
    </x:row>
    <x:row r="70">
      <x:c r="A70" s="122"/>
      <x:c r="B70" s="122"/>
      <x:c r="C70" s="122"/>
      <x:c r="D70" s="122"/>
      <x:c r="E70" s="122"/>
      <x:c r="F70" s="122"/>
      <x:c r="G70" s="122"/>
      <x:c r="H70" s="122"/>
    </x:row>
    <x:row r="71">
      <x:c r="A71" s="122"/>
      <x:c r="B71" s="122"/>
      <x:c r="C71" s="122"/>
      <x:c r="D71" s="122"/>
      <x:c r="E71" s="122"/>
      <x:c r="F71" s="122"/>
      <x:c r="G71" s="122"/>
      <x:c r="H71" s="122"/>
    </x:row>
    <x:row r="72">
      <x:c r="A72" s="122"/>
      <x:c r="B72" s="122"/>
      <x:c r="C72" s="122"/>
      <x:c r="D72" s="122"/>
      <x:c r="E72" s="122"/>
      <x:c r="F72" s="122"/>
      <x:c r="G72" s="122"/>
      <x:c r="H72" s="122"/>
    </x:row>
    <x:row r="73">
      <x:c r="A73" s="122"/>
      <x:c r="B73" s="122"/>
      <x:c r="C73" s="122"/>
      <x:c r="D73" s="122"/>
      <x:c r="E73" s="122"/>
      <x:c r="F73" s="122"/>
      <x:c r="G73" s="122"/>
      <x:c r="H73" s="122"/>
    </x:row>
    <x:row r="74">
      <x:c r="A74" s="122"/>
      <x:c r="B74" s="122"/>
      <x:c r="C74" s="122"/>
      <x:c r="D74" s="122"/>
      <x:c r="E74" s="122"/>
      <x:c r="F74" s="122"/>
      <x:c r="G74" s="122"/>
      <x:c r="H74" s="122"/>
    </x:row>
    <x:row r="75">
      <x:c r="A75" s="122"/>
      <x:c r="B75" s="122"/>
      <x:c r="C75" s="122"/>
      <x:c r="D75" s="122"/>
      <x:c r="E75" s="122"/>
      <x:c r="F75" s="122"/>
      <x:c r="G75" s="122"/>
      <x:c r="H75" s="122"/>
    </x:row>
    <x:row r="76">
      <x:c r="A76" s="122"/>
      <x:c r="B76" s="122"/>
      <x:c r="C76" s="122"/>
      <x:c r="D76" s="122"/>
      <x:c r="E76" s="122"/>
      <x:c r="F76" s="122"/>
      <x:c r="G76" s="122"/>
      <x:c r="H76" s="122"/>
    </x:row>
    <x:row r="77">
      <x:c r="A77" s="122"/>
      <x:c r="B77" s="122"/>
      <x:c r="C77" s="122"/>
      <x:c r="D77" s="122"/>
      <x:c r="E77" s="122"/>
      <x:c r="F77" s="122"/>
      <x:c r="G77" s="122"/>
      <x:c r="H77" s="122"/>
    </x:row>
    <x:row r="78">
      <x:c r="A78" s="122"/>
      <x:c r="B78" s="122"/>
      <x:c r="C78" s="122"/>
      <x:c r="D78" s="122"/>
      <x:c r="E78" s="122"/>
      <x:c r="F78" s="122"/>
      <x:c r="G78" s="122"/>
      <x:c r="H78" s="122"/>
    </x:row>
    <x:row r="79">
      <x:c r="A79" s="122"/>
      <x:c r="B79" s="122"/>
      <x:c r="C79" s="122"/>
      <x:c r="D79" s="122"/>
      <x:c r="E79" s="122"/>
      <x:c r="F79" s="122"/>
      <x:c r="G79" s="122"/>
      <x:c r="H79" s="122"/>
    </x:row>
    <x:row r="80">
      <x:c r="A80" s="122"/>
      <x:c r="B80" s="122"/>
      <x:c r="C80" s="122"/>
      <x:c r="D80" s="122"/>
      <x:c r="E80" s="122"/>
      <x:c r="F80" s="122"/>
      <x:c r="G80" s="122"/>
      <x:c r="H80" s="122"/>
    </x:row>
  </x:sheetData>
  <x:mergeCells>
    <x:mergeCell ref="A1:H1"/>
    <x:mergeCell ref="A2:H3"/>
    <x:mergeCell ref="A5:D5"/>
    <x:mergeCell ref="A12:H12"/>
    <x:mergeCell ref="A16:H16"/>
    <x:mergeCell ref="A21:H2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14" hidden="0" customWidth="1"/>
    <x:col min="4" max="4" width="38" hidden="0" customWidth="1"/>
    <x:col min="5" max="5" width="14" hidden="0" customWidth="1"/>
    <x:col min="6" max="6" width="14" hidden="0" customWidth="1"/>
    <x:col min="7" max="7" width="48" hidden="0" customWidth="1"/>
    <x:col min="8" max="8" width="26" hidden="0" customWidth="1"/>
  </x:cols>
  <x:sheetData>
    <x:row r="1" ht="28" customHeight="1">
      <x:c r="A1" s="6" t="str">
        <x:v>Step 5 — Bi-monthly VAT Remittance</x:v>
      </x:c>
      <x:c r="B1" s="6"/>
      <x:c r="C1" s="6"/>
      <x:c r="D1" s="6"/>
      <x:c r="E1" s="6"/>
      <x:c r="F1" s="6"/>
      <x:c r="G1" s="6"/>
      <x:c r="H1" s="6"/>
    </x:row>
    <x:row r="2" ht="44" customHeight="1">
      <x:c r="A2" s="121" t="str">
        <x:v>VAT Output - ZIMRA accumulates from payments received. Remittance clears VAT Output - ZIMRA against the bank. Deferred Output VAT is not touched during remittance.</x:v>
      </x:c>
      <x:c r="B2" s="121"/>
      <x:c r="C2" s="121"/>
      <x:c r="D2" s="121"/>
      <x:c r="E2" s="121"/>
      <x:c r="F2" s="121"/>
      <x:c r="G2" s="121"/>
      <x:c r="H2" s="121"/>
    </x:row>
    <x:row r="3" ht="44" customHeight="1">
      <x:c r="A3" s="121"/>
      <x:c r="B3" s="121"/>
      <x:c r="C3" s="121"/>
      <x:c r="D3" s="121"/>
      <x:c r="E3" s="121"/>
      <x:c r="F3" s="121"/>
      <x:c r="G3" s="121"/>
      <x:c r="H3" s="121"/>
    </x:row>
    <x:row r="4">
      <x:c r="A4" s="122"/>
      <x:c r="B4" s="122"/>
      <x:c r="C4" s="122"/>
      <x:c r="D4" s="122"/>
      <x:c r="E4" s="122"/>
      <x:c r="F4" s="122"/>
      <x:c r="G4" s="122"/>
      <x:c r="H4" s="122"/>
    </x:row>
    <x:row r="5">
      <x:c r="A5" s="135" t="str">
        <x:v>Illustrative VAT remittance</x:v>
      </x:c>
      <x:c r="B5" s="135"/>
      <x:c r="C5" s="135"/>
      <x:c r="D5" s="135"/>
      <x:c r="E5" s="122"/>
      <x:c r="F5" s="122"/>
      <x:c r="G5" s="122"/>
      <x:c r="H5" s="122"/>
    </x:row>
    <x:row r="6">
      <x:c r="A6" s="123" t="str">
        <x:v>Item</x:v>
      </x:c>
      <x:c r="B6" s="124" t="str">
        <x:v>Value</x:v>
      </x:c>
      <x:c r="C6" s="124" t="str">
        <x:v>Formula / Basis</x:v>
      </x:c>
      <x:c r="D6" s="125" t="str">
        <x:v>Comment</x:v>
      </x:c>
      <x:c r="E6" s="122"/>
      <x:c r="F6" s="122"/>
      <x:c r="G6" s="122"/>
      <x:c r="H6" s="122"/>
    </x:row>
    <x:row r="7">
      <x:c r="A7" s="126" t="str">
        <x:v>VAT on deposit</x:v>
      </x:c>
      <x:c r="B7" s="127" t="n">
        <x:f>'01 Assumptions'!B11</x:f>
        <x:v>310</x:v>
      </x:c>
      <x:c r="C7" s="128" t="str">
        <x:v>Assumptions B11</x:v>
      </x:c>
      <x:c r="D7" s="129" t="str">
        <x:v>Triggered by deposit payment</x:v>
      </x:c>
      <x:c r="E7" s="122"/>
      <x:c r="F7" s="122"/>
      <x:c r="G7" s="122"/>
      <x:c r="H7" s="122"/>
    </x:row>
    <x:row r="8">
      <x:c r="A8" s="131" t="str">
        <x:v>VAT on two monthly payments</x:v>
      </x:c>
      <x:c r="B8" s="132" t="n">
        <x:f>2*'01 Assumptions'!B14</x:f>
        <x:v>310</x:v>
      </x:c>
      <x:c r="C8" s="133" t="str">
        <x:v>2 × Assumptions B14</x:v>
      </x:c>
      <x:c r="D8" s="134" t="str">
        <x:v>Illustrative</x:v>
      </x:c>
      <x:c r="E8" s="122"/>
      <x:c r="F8" s="122"/>
      <x:c r="G8" s="122"/>
      <x:c r="H8" s="122"/>
    </x:row>
    <x:row r="9">
      <x:c r="A9" s="122" t="str">
        <x:v>Total VAT remitted</x:v>
      </x:c>
      <x:c r="B9" s="162" t="n">
        <x:f>B7+B8</x:f>
        <x:v>620</x:v>
      </x:c>
      <x:c r="C9" s="122" t="str">
        <x:v>Deposit VAT + 2 monthly VAT</x:v>
      </x:c>
      <x:c r="D9" s="122" t="str">
        <x:v>Example remittance amount</x:v>
      </x:c>
      <x:c r="E9" s="122"/>
      <x:c r="F9" s="122"/>
      <x:c r="G9" s="122"/>
      <x:c r="H9" s="122"/>
    </x:row>
    <x:row r="10">
      <x:c r="A10" s="122"/>
      <x:c r="B10" s="122"/>
      <x:c r="C10" s="122"/>
      <x:c r="D10" s="122"/>
      <x:c r="E10" s="122"/>
      <x:c r="F10" s="122"/>
      <x:c r="G10" s="122"/>
      <x:c r="H10" s="122"/>
    </x:row>
    <x:row r="11">
      <x:c r="A11" s="135" t="str">
        <x:v>JE — VAT remitted</x:v>
      </x:c>
      <x:c r="B11" s="135"/>
      <x:c r="C11" s="135"/>
      <x:c r="D11" s="135"/>
      <x:c r="E11" s="135"/>
      <x:c r="F11" s="135"/>
      <x:c r="G11" s="135"/>
      <x:c r="H11" s="135"/>
    </x:row>
    <x:row r="12">
      <x:c r="A12" s="163" t="str">
        <x:v>Date</x:v>
      </x:c>
      <x:c r="B12" s="164" t="str">
        <x:v>Debit Account</x:v>
      </x:c>
      <x:c r="C12" s="164" t="str">
        <x:v>Debit Code</x:v>
      </x:c>
      <x:c r="D12" s="164" t="str">
        <x:v>Credit Account</x:v>
      </x:c>
      <x:c r="E12" s="164" t="str">
        <x:v>Credit Code</x:v>
      </x:c>
      <x:c r="F12" s="164" t="str">
        <x:v>Debit Amount</x:v>
      </x:c>
      <x:c r="G12" s="164" t="str">
        <x:v>Credit Amount</x:v>
      </x:c>
      <x:c r="H12" s="165" t="str">
        <x:v>Narrative</x:v>
      </x:c>
    </x:row>
    <x:row r="13">
      <x:c r="A13" s="122" t="str">
        <x:v>VAT payment date</x:v>
      </x:c>
      <x:c r="B13" s="122" t="str">
        <x:v>VAT Output - ZIMRA</x:v>
      </x:c>
      <x:c r="C13" s="122" t="str">
        <x:v>251010</x:v>
      </x:c>
      <x:c r="D13" s="122" t="str">
        <x:v>CABS - Main USD Current Account - 1129888509</x:v>
      </x:c>
      <x:c r="E13" s="122" t="str">
        <x:v>101410</x:v>
      </x:c>
      <x:c r="F13" s="162" t="n">
        <x:f>B9</x:f>
        <x:v>620</x:v>
      </x:c>
      <x:c r="G13" s="162" t="n">
        <x:f>B9</x:f>
        <x:v>620</x:v>
      </x:c>
      <x:c r="H13" s="122" t="str">
        <x:v>Pay accumulated output VAT due to ZIMRA</x:v>
      </x:c>
    </x:row>
    <x:row r="14">
      <x:c r="A14" s="122"/>
      <x:c r="B14" s="122"/>
      <x:c r="C14" s="122"/>
      <x:c r="D14" s="122"/>
      <x:c r="E14" s="122"/>
      <x:c r="F14" s="122"/>
      <x:c r="G14" s="122"/>
      <x:c r="H14" s="122"/>
    </x:row>
    <x:row r="15">
      <x:c r="A15" s="121" t="str">
        <x:v>If actual VAT return differs from the accumulated balance, post adjustment through the tax return process.</x:v>
      </x:c>
      <x:c r="B15" s="121"/>
      <x:c r="C15" s="121"/>
      <x:c r="D15" s="121"/>
      <x:c r="E15" s="121"/>
      <x:c r="F15" s="121"/>
      <x:c r="G15" s="121"/>
      <x:c r="H15" s="121"/>
    </x:row>
    <x:row r="16">
      <x:c r="A16" s="121"/>
      <x:c r="B16" s="121"/>
      <x:c r="C16" s="121"/>
      <x:c r="D16" s="121"/>
      <x:c r="E16" s="121"/>
      <x:c r="F16" s="121"/>
      <x:c r="G16" s="121"/>
      <x:c r="H16" s="121"/>
    </x:row>
    <x:row r="17">
      <x:c r="A17" s="122"/>
      <x:c r="B17" s="122"/>
      <x:c r="C17" s="122"/>
      <x:c r="D17" s="122"/>
      <x:c r="E17" s="122"/>
      <x:c r="F17" s="122"/>
      <x:c r="G17" s="122"/>
      <x:c r="H17" s="122"/>
    </x:row>
    <x:row r="18">
      <x:c r="A18" s="122"/>
      <x:c r="B18" s="122"/>
      <x:c r="C18" s="122"/>
      <x:c r="D18" s="122"/>
      <x:c r="E18" s="122"/>
      <x:c r="F18" s="122"/>
      <x:c r="G18" s="122"/>
      <x:c r="H18" s="122"/>
    </x:row>
    <x:row r="19">
      <x:c r="A19" s="122"/>
      <x:c r="B19" s="122"/>
      <x:c r="C19" s="122"/>
      <x:c r="D19" s="122"/>
      <x:c r="E19" s="122"/>
      <x:c r="F19" s="122"/>
      <x:c r="G19" s="122"/>
      <x:c r="H19" s="122"/>
    </x:row>
    <x:row r="20">
      <x:c r="A20" s="122"/>
      <x:c r="B20" s="122"/>
      <x:c r="C20" s="122"/>
      <x:c r="D20" s="122"/>
      <x:c r="E20" s="122"/>
      <x:c r="F20" s="122"/>
      <x:c r="G20" s="122"/>
      <x:c r="H20" s="122"/>
    </x:row>
    <x:row r="21">
      <x:c r="A21" s="122"/>
      <x:c r="B21" s="122"/>
      <x:c r="C21" s="122"/>
      <x:c r="D21" s="122"/>
      <x:c r="E21" s="122"/>
      <x:c r="F21" s="122"/>
      <x:c r="G21" s="122"/>
      <x:c r="H21" s="122"/>
    </x:row>
    <x:row r="22">
      <x:c r="A22" s="122"/>
      <x:c r="B22" s="122"/>
      <x:c r="C22" s="122"/>
      <x:c r="D22" s="122"/>
      <x:c r="E22" s="122"/>
      <x:c r="F22" s="122"/>
      <x:c r="G22" s="122"/>
      <x:c r="H22" s="122"/>
    </x:row>
    <x:row r="23">
      <x:c r="A23" s="122"/>
      <x:c r="B23" s="122"/>
      <x:c r="C23" s="122"/>
      <x:c r="D23" s="122"/>
      <x:c r="E23" s="122"/>
      <x:c r="F23" s="122"/>
      <x:c r="G23" s="122"/>
      <x:c r="H23" s="122"/>
    </x:row>
    <x:row r="24">
      <x:c r="A24" s="122"/>
      <x:c r="B24" s="122"/>
      <x:c r="C24" s="122"/>
      <x:c r="D24" s="122"/>
      <x:c r="E24" s="122"/>
      <x:c r="F24" s="122"/>
      <x:c r="G24" s="122"/>
      <x:c r="H24" s="122"/>
    </x:row>
    <x:row r="25">
      <x:c r="A25" s="122"/>
      <x:c r="B25" s="122"/>
      <x:c r="C25" s="122"/>
      <x:c r="D25" s="122"/>
      <x:c r="E25" s="122"/>
      <x:c r="F25" s="122"/>
      <x:c r="G25" s="122"/>
      <x:c r="H25" s="122"/>
    </x:row>
    <x:row r="26">
      <x:c r="A26" s="122"/>
      <x:c r="B26" s="122"/>
      <x:c r="C26" s="122"/>
      <x:c r="D26" s="122"/>
      <x:c r="E26" s="122"/>
      <x:c r="F26" s="122"/>
      <x:c r="G26" s="122"/>
      <x:c r="H26" s="122"/>
    </x:row>
    <x:row r="27">
      <x:c r="A27" s="122"/>
      <x:c r="B27" s="122"/>
      <x:c r="C27" s="122"/>
      <x:c r="D27" s="122"/>
      <x:c r="E27" s="122"/>
      <x:c r="F27" s="122"/>
      <x:c r="G27" s="122"/>
      <x:c r="H27" s="122"/>
    </x:row>
    <x:row r="28">
      <x:c r="A28" s="122"/>
      <x:c r="B28" s="122"/>
      <x:c r="C28" s="122"/>
      <x:c r="D28" s="122"/>
      <x:c r="E28" s="122"/>
      <x:c r="F28" s="122"/>
      <x:c r="G28" s="122"/>
      <x:c r="H28" s="122"/>
    </x:row>
    <x:row r="29">
      <x:c r="A29" s="122"/>
      <x:c r="B29" s="122"/>
      <x:c r="C29" s="122"/>
      <x:c r="D29" s="122"/>
      <x:c r="E29" s="122"/>
      <x:c r="F29" s="122"/>
      <x:c r="G29" s="122"/>
      <x:c r="H29" s="122"/>
    </x:row>
    <x:row r="30">
      <x:c r="A30" s="122"/>
      <x:c r="B30" s="122"/>
      <x:c r="C30" s="122"/>
      <x:c r="D30" s="122"/>
      <x:c r="E30" s="122"/>
      <x:c r="F30" s="122"/>
      <x:c r="G30" s="122"/>
      <x:c r="H30" s="122"/>
    </x:row>
    <x:row r="31">
      <x:c r="A31" s="122"/>
      <x:c r="B31" s="122"/>
      <x:c r="C31" s="122"/>
      <x:c r="D31" s="122"/>
      <x:c r="E31" s="122"/>
      <x:c r="F31" s="122"/>
      <x:c r="G31" s="122"/>
      <x:c r="H31" s="122"/>
    </x:row>
    <x:row r="32">
      <x:c r="A32" s="122"/>
      <x:c r="B32" s="122"/>
      <x:c r="C32" s="122"/>
      <x:c r="D32" s="122"/>
      <x:c r="E32" s="122"/>
      <x:c r="F32" s="122"/>
      <x:c r="G32" s="122"/>
      <x:c r="H32" s="122"/>
    </x:row>
    <x:row r="33">
      <x:c r="A33" s="122"/>
      <x:c r="B33" s="122"/>
      <x:c r="C33" s="122"/>
      <x:c r="D33" s="122"/>
      <x:c r="E33" s="122"/>
      <x:c r="F33" s="122"/>
      <x:c r="G33" s="122"/>
      <x:c r="H33" s="122"/>
    </x:row>
    <x:row r="34">
      <x:c r="A34" s="122"/>
      <x:c r="B34" s="122"/>
      <x:c r="C34" s="122"/>
      <x:c r="D34" s="122"/>
      <x:c r="E34" s="122"/>
      <x:c r="F34" s="122"/>
      <x:c r="G34" s="122"/>
      <x:c r="H34" s="122"/>
    </x:row>
    <x:row r="35">
      <x:c r="A35" s="122"/>
      <x:c r="B35" s="122"/>
      <x:c r="C35" s="122"/>
      <x:c r="D35" s="122"/>
      <x:c r="E35" s="122"/>
      <x:c r="F35" s="122"/>
      <x:c r="G35" s="122"/>
      <x:c r="H35" s="122"/>
    </x:row>
    <x:row r="36">
      <x:c r="A36" s="122"/>
      <x:c r="B36" s="122"/>
      <x:c r="C36" s="122"/>
      <x:c r="D36" s="122"/>
      <x:c r="E36" s="122"/>
      <x:c r="F36" s="122"/>
      <x:c r="G36" s="122"/>
      <x:c r="H36" s="122"/>
    </x:row>
    <x:row r="37">
      <x:c r="A37" s="122"/>
      <x:c r="B37" s="122"/>
      <x:c r="C37" s="122"/>
      <x:c r="D37" s="122"/>
      <x:c r="E37" s="122"/>
      <x:c r="F37" s="122"/>
      <x:c r="G37" s="122"/>
      <x:c r="H37" s="122"/>
    </x:row>
    <x:row r="38">
      <x:c r="A38" s="122"/>
      <x:c r="B38" s="122"/>
      <x:c r="C38" s="122"/>
      <x:c r="D38" s="122"/>
      <x:c r="E38" s="122"/>
      <x:c r="F38" s="122"/>
      <x:c r="G38" s="122"/>
      <x:c r="H38" s="122"/>
    </x:row>
    <x:row r="39">
      <x:c r="A39" s="122"/>
      <x:c r="B39" s="122"/>
      <x:c r="C39" s="122"/>
      <x:c r="D39" s="122"/>
      <x:c r="E39" s="122"/>
      <x:c r="F39" s="122"/>
      <x:c r="G39" s="122"/>
      <x:c r="H39" s="122"/>
    </x:row>
    <x:row r="40">
      <x:c r="A40" s="122"/>
      <x:c r="B40" s="122"/>
      <x:c r="C40" s="122"/>
      <x:c r="D40" s="122"/>
      <x:c r="E40" s="122"/>
      <x:c r="F40" s="122"/>
      <x:c r="G40" s="122"/>
      <x:c r="H40" s="122"/>
    </x:row>
    <x:row r="41">
      <x:c r="A41" s="122"/>
      <x:c r="B41" s="122"/>
      <x:c r="C41" s="122"/>
      <x:c r="D41" s="122"/>
      <x:c r="E41" s="122"/>
      <x:c r="F41" s="122"/>
      <x:c r="G41" s="122"/>
      <x:c r="H41" s="122"/>
    </x:row>
    <x:row r="42">
      <x:c r="A42" s="122"/>
      <x:c r="B42" s="122"/>
      <x:c r="C42" s="122"/>
      <x:c r="D42" s="122"/>
      <x:c r="E42" s="122"/>
      <x:c r="F42" s="122"/>
      <x:c r="G42" s="122"/>
      <x:c r="H42" s="122"/>
    </x:row>
    <x:row r="43">
      <x:c r="A43" s="122"/>
      <x:c r="B43" s="122"/>
      <x:c r="C43" s="122"/>
      <x:c r="D43" s="122"/>
      <x:c r="E43" s="122"/>
      <x:c r="F43" s="122"/>
      <x:c r="G43" s="122"/>
      <x:c r="H43" s="122"/>
    </x:row>
    <x:row r="44">
      <x:c r="A44" s="122"/>
      <x:c r="B44" s="122"/>
      <x:c r="C44" s="122"/>
      <x:c r="D44" s="122"/>
      <x:c r="E44" s="122"/>
      <x:c r="F44" s="122"/>
      <x:c r="G44" s="122"/>
      <x:c r="H44" s="122"/>
    </x:row>
    <x:row r="45">
      <x:c r="A45" s="122"/>
      <x:c r="B45" s="122"/>
      <x:c r="C45" s="122"/>
      <x:c r="D45" s="122"/>
      <x:c r="E45" s="122"/>
      <x:c r="F45" s="122"/>
      <x:c r="G45" s="122"/>
      <x:c r="H45" s="122"/>
    </x:row>
    <x:row r="46">
      <x:c r="A46" s="122"/>
      <x:c r="B46" s="122"/>
      <x:c r="C46" s="122"/>
      <x:c r="D46" s="122"/>
      <x:c r="E46" s="122"/>
      <x:c r="F46" s="122"/>
      <x:c r="G46" s="122"/>
      <x:c r="H46" s="122"/>
    </x:row>
    <x:row r="47">
      <x:c r="A47" s="122"/>
      <x:c r="B47" s="122"/>
      <x:c r="C47" s="122"/>
      <x:c r="D47" s="122"/>
      <x:c r="E47" s="122"/>
      <x:c r="F47" s="122"/>
      <x:c r="G47" s="122"/>
      <x:c r="H47" s="122"/>
    </x:row>
    <x:row r="48">
      <x:c r="A48" s="122"/>
      <x:c r="B48" s="122"/>
      <x:c r="C48" s="122"/>
      <x:c r="D48" s="122"/>
      <x:c r="E48" s="122"/>
      <x:c r="F48" s="122"/>
      <x:c r="G48" s="122"/>
      <x:c r="H48" s="122"/>
    </x:row>
    <x:row r="49">
      <x:c r="A49" s="122"/>
      <x:c r="B49" s="122"/>
      <x:c r="C49" s="122"/>
      <x:c r="D49" s="122"/>
      <x:c r="E49" s="122"/>
      <x:c r="F49" s="122"/>
      <x:c r="G49" s="122"/>
      <x:c r="H49" s="122"/>
    </x:row>
    <x:row r="50">
      <x:c r="A50" s="122"/>
      <x:c r="B50" s="122"/>
      <x:c r="C50" s="122"/>
      <x:c r="D50" s="122"/>
      <x:c r="E50" s="122"/>
      <x:c r="F50" s="122"/>
      <x:c r="G50" s="122"/>
      <x:c r="H50" s="122"/>
    </x:row>
    <x:row r="51">
      <x:c r="A51" s="122"/>
      <x:c r="B51" s="122"/>
      <x:c r="C51" s="122"/>
      <x:c r="D51" s="122"/>
      <x:c r="E51" s="122"/>
      <x:c r="F51" s="122"/>
      <x:c r="G51" s="122"/>
      <x:c r="H51" s="122"/>
    </x:row>
    <x:row r="52">
      <x:c r="A52" s="122"/>
      <x:c r="B52" s="122"/>
      <x:c r="C52" s="122"/>
      <x:c r="D52" s="122"/>
      <x:c r="E52" s="122"/>
      <x:c r="F52" s="122"/>
      <x:c r="G52" s="122"/>
      <x:c r="H52" s="122"/>
    </x:row>
    <x:row r="53">
      <x:c r="A53" s="122"/>
      <x:c r="B53" s="122"/>
      <x:c r="C53" s="122"/>
      <x:c r="D53" s="122"/>
      <x:c r="E53" s="122"/>
      <x:c r="F53" s="122"/>
      <x:c r="G53" s="122"/>
      <x:c r="H53" s="122"/>
    </x:row>
    <x:row r="54">
      <x:c r="A54" s="122"/>
      <x:c r="B54" s="122"/>
      <x:c r="C54" s="122"/>
      <x:c r="D54" s="122"/>
      <x:c r="E54" s="122"/>
      <x:c r="F54" s="122"/>
      <x:c r="G54" s="122"/>
      <x:c r="H54" s="122"/>
    </x:row>
    <x:row r="55">
      <x:c r="A55" s="122"/>
      <x:c r="B55" s="122"/>
      <x:c r="C55" s="122"/>
      <x:c r="D55" s="122"/>
      <x:c r="E55" s="122"/>
      <x:c r="F55" s="122"/>
      <x:c r="G55" s="122"/>
      <x:c r="H55" s="122"/>
    </x:row>
    <x:row r="56">
      <x:c r="A56" s="122"/>
      <x:c r="B56" s="122"/>
      <x:c r="C56" s="122"/>
      <x:c r="D56" s="122"/>
      <x:c r="E56" s="122"/>
      <x:c r="F56" s="122"/>
      <x:c r="G56" s="122"/>
      <x:c r="H56" s="122"/>
    </x:row>
    <x:row r="57">
      <x:c r="A57" s="122"/>
      <x:c r="B57" s="122"/>
      <x:c r="C57" s="122"/>
      <x:c r="D57" s="122"/>
      <x:c r="E57" s="122"/>
      <x:c r="F57" s="122"/>
      <x:c r="G57" s="122"/>
      <x:c r="H57" s="122"/>
    </x:row>
    <x:row r="58">
      <x:c r="A58" s="122"/>
      <x:c r="B58" s="122"/>
      <x:c r="C58" s="122"/>
      <x:c r="D58" s="122"/>
      <x:c r="E58" s="122"/>
      <x:c r="F58" s="122"/>
      <x:c r="G58" s="122"/>
      <x:c r="H58" s="122"/>
    </x:row>
    <x:row r="59">
      <x:c r="A59" s="122"/>
      <x:c r="B59" s="122"/>
      <x:c r="C59" s="122"/>
      <x:c r="D59" s="122"/>
      <x:c r="E59" s="122"/>
      <x:c r="F59" s="122"/>
      <x:c r="G59" s="122"/>
      <x:c r="H59" s="122"/>
    </x:row>
    <x:row r="60">
      <x:c r="A60" s="122"/>
      <x:c r="B60" s="122"/>
      <x:c r="C60" s="122"/>
      <x:c r="D60" s="122"/>
      <x:c r="E60" s="122"/>
      <x:c r="F60" s="122"/>
      <x:c r="G60" s="122"/>
      <x:c r="H60" s="122"/>
    </x:row>
    <x:row r="61">
      <x:c r="A61" s="122"/>
      <x:c r="B61" s="122"/>
      <x:c r="C61" s="122"/>
      <x:c r="D61" s="122"/>
      <x:c r="E61" s="122"/>
      <x:c r="F61" s="122"/>
      <x:c r="G61" s="122"/>
      <x:c r="H61" s="122"/>
    </x:row>
    <x:row r="62">
      <x:c r="A62" s="122"/>
      <x:c r="B62" s="122"/>
      <x:c r="C62" s="122"/>
      <x:c r="D62" s="122"/>
      <x:c r="E62" s="122"/>
      <x:c r="F62" s="122"/>
      <x:c r="G62" s="122"/>
      <x:c r="H62" s="122"/>
    </x:row>
    <x:row r="63">
      <x:c r="A63" s="122"/>
      <x:c r="B63" s="122"/>
      <x:c r="C63" s="122"/>
      <x:c r="D63" s="122"/>
      <x:c r="E63" s="122"/>
      <x:c r="F63" s="122"/>
      <x:c r="G63" s="122"/>
      <x:c r="H63" s="122"/>
    </x:row>
    <x:row r="64">
      <x:c r="A64" s="122"/>
      <x:c r="B64" s="122"/>
      <x:c r="C64" s="122"/>
      <x:c r="D64" s="122"/>
      <x:c r="E64" s="122"/>
      <x:c r="F64" s="122"/>
      <x:c r="G64" s="122"/>
      <x:c r="H64" s="122"/>
    </x:row>
    <x:row r="65">
      <x:c r="A65" s="122"/>
      <x:c r="B65" s="122"/>
      <x:c r="C65" s="122"/>
      <x:c r="D65" s="122"/>
      <x:c r="E65" s="122"/>
      <x:c r="F65" s="122"/>
      <x:c r="G65" s="122"/>
      <x:c r="H65" s="122"/>
    </x:row>
    <x:row r="66">
      <x:c r="A66" s="122"/>
      <x:c r="B66" s="122"/>
      <x:c r="C66" s="122"/>
      <x:c r="D66" s="122"/>
      <x:c r="E66" s="122"/>
      <x:c r="F66" s="122"/>
      <x:c r="G66" s="122"/>
      <x:c r="H66" s="122"/>
    </x:row>
    <x:row r="67">
      <x:c r="A67" s="122"/>
      <x:c r="B67" s="122"/>
      <x:c r="C67" s="122"/>
      <x:c r="D67" s="122"/>
      <x:c r="E67" s="122"/>
      <x:c r="F67" s="122"/>
      <x:c r="G67" s="122"/>
      <x:c r="H67" s="122"/>
    </x:row>
    <x:row r="68">
      <x:c r="A68" s="122"/>
      <x:c r="B68" s="122"/>
      <x:c r="C68" s="122"/>
      <x:c r="D68" s="122"/>
      <x:c r="E68" s="122"/>
      <x:c r="F68" s="122"/>
      <x:c r="G68" s="122"/>
      <x:c r="H68" s="122"/>
    </x:row>
    <x:row r="69">
      <x:c r="A69" s="122"/>
      <x:c r="B69" s="122"/>
      <x:c r="C69" s="122"/>
      <x:c r="D69" s="122"/>
      <x:c r="E69" s="122"/>
      <x:c r="F69" s="122"/>
      <x:c r="G69" s="122"/>
      <x:c r="H69" s="122"/>
    </x:row>
    <x:row r="70">
      <x:c r="A70" s="122"/>
      <x:c r="B70" s="122"/>
      <x:c r="C70" s="122"/>
      <x:c r="D70" s="122"/>
      <x:c r="E70" s="122"/>
      <x:c r="F70" s="122"/>
      <x:c r="G70" s="122"/>
      <x:c r="H70" s="122"/>
    </x:row>
    <x:row r="71">
      <x:c r="A71" s="122"/>
      <x:c r="B71" s="122"/>
      <x:c r="C71" s="122"/>
      <x:c r="D71" s="122"/>
      <x:c r="E71" s="122"/>
      <x:c r="F71" s="122"/>
      <x:c r="G71" s="122"/>
      <x:c r="H71" s="122"/>
    </x:row>
    <x:row r="72">
      <x:c r="A72" s="122"/>
      <x:c r="B72" s="122"/>
      <x:c r="C72" s="122"/>
      <x:c r="D72" s="122"/>
      <x:c r="E72" s="122"/>
      <x:c r="F72" s="122"/>
      <x:c r="G72" s="122"/>
      <x:c r="H72" s="122"/>
    </x:row>
    <x:row r="73">
      <x:c r="A73" s="122"/>
      <x:c r="B73" s="122"/>
      <x:c r="C73" s="122"/>
      <x:c r="D73" s="122"/>
      <x:c r="E73" s="122"/>
      <x:c r="F73" s="122"/>
      <x:c r="G73" s="122"/>
      <x:c r="H73" s="122"/>
    </x:row>
    <x:row r="74">
      <x:c r="A74" s="122"/>
      <x:c r="B74" s="122"/>
      <x:c r="C74" s="122"/>
      <x:c r="D74" s="122"/>
      <x:c r="E74" s="122"/>
      <x:c r="F74" s="122"/>
      <x:c r="G74" s="122"/>
      <x:c r="H74" s="122"/>
    </x:row>
    <x:row r="75">
      <x:c r="A75" s="122"/>
      <x:c r="B75" s="122"/>
      <x:c r="C75" s="122"/>
      <x:c r="D75" s="122"/>
      <x:c r="E75" s="122"/>
      <x:c r="F75" s="122"/>
      <x:c r="G75" s="122"/>
      <x:c r="H75" s="122"/>
    </x:row>
    <x:row r="76">
      <x:c r="A76" s="122"/>
      <x:c r="B76" s="122"/>
      <x:c r="C76" s="122"/>
      <x:c r="D76" s="122"/>
      <x:c r="E76" s="122"/>
      <x:c r="F76" s="122"/>
      <x:c r="G76" s="122"/>
      <x:c r="H76" s="122"/>
    </x:row>
    <x:row r="77">
      <x:c r="A77" s="122"/>
      <x:c r="B77" s="122"/>
      <x:c r="C77" s="122"/>
      <x:c r="D77" s="122"/>
      <x:c r="E77" s="122"/>
      <x:c r="F77" s="122"/>
      <x:c r="G77" s="122"/>
      <x:c r="H77" s="122"/>
    </x:row>
    <x:row r="78">
      <x:c r="A78" s="122"/>
      <x:c r="B78" s="122"/>
      <x:c r="C78" s="122"/>
      <x:c r="D78" s="122"/>
      <x:c r="E78" s="122"/>
      <x:c r="F78" s="122"/>
      <x:c r="G78" s="122"/>
      <x:c r="H78" s="122"/>
    </x:row>
    <x:row r="79">
      <x:c r="A79" s="122"/>
      <x:c r="B79" s="122"/>
      <x:c r="C79" s="122"/>
      <x:c r="D79" s="122"/>
      <x:c r="E79" s="122"/>
      <x:c r="F79" s="122"/>
      <x:c r="G79" s="122"/>
      <x:c r="H79" s="122"/>
    </x:row>
    <x:row r="80">
      <x:c r="A80" s="122"/>
      <x:c r="B80" s="122"/>
      <x:c r="C80" s="122"/>
      <x:c r="D80" s="122"/>
      <x:c r="E80" s="122"/>
      <x:c r="F80" s="122"/>
      <x:c r="G80" s="122"/>
      <x:c r="H80" s="122"/>
    </x:row>
  </x:sheetData>
  <x:mergeCells>
    <x:mergeCell ref="A1:H1"/>
    <x:mergeCell ref="A2:H3"/>
    <x:mergeCell ref="A5:D5"/>
    <x:mergeCell ref="A11:H11"/>
    <x:mergeCell ref="A15:H1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14" hidden="0" customWidth="1"/>
    <x:col min="4" max="4" width="38" hidden="0" customWidth="1"/>
    <x:col min="5" max="5" width="14" hidden="0" customWidth="1"/>
    <x:col min="6" max="6" width="14" hidden="0" customWidth="1"/>
    <x:col min="7" max="7" width="48" hidden="0" customWidth="1"/>
    <x:col min="8" max="8" width="26" hidden="0" customWidth="1"/>
  </x:cols>
  <x:sheetData>
    <x:row r="1" ht="28" customHeight="1">
      <x:c r="A1" s="6" t="str">
        <x:v>Step 6 — Cost of Sales Recognition Logic</x:v>
      </x:c>
      <x:c r="B1" s="6"/>
      <x:c r="C1" s="6"/>
      <x:c r="D1" s="6"/>
      <x:c r="E1" s="6"/>
      <x:c r="F1" s="6"/>
      <x:c r="G1" s="6"/>
      <x:c r="H1" s="6"/>
    </x:row>
    <x:row r="2" ht="44" customHeight="1">
      <x:c r="A2" s="121" t="str">
        <x:v>COS is recognized in proportion to net revenue recognized. VAT is excluded from the calculation. Stand cost must come from the stand cost master.</x:v>
      </x:c>
      <x:c r="B2" s="121"/>
      <x:c r="C2" s="121"/>
      <x:c r="D2" s="121"/>
      <x:c r="E2" s="121"/>
      <x:c r="F2" s="121"/>
      <x:c r="G2" s="121"/>
      <x:c r="H2" s="121"/>
    </x:row>
    <x:row r="3" ht="44" customHeight="1">
      <x:c r="A3" s="121"/>
      <x:c r="B3" s="121"/>
      <x:c r="C3" s="121"/>
      <x:c r="D3" s="121"/>
      <x:c r="E3" s="121"/>
      <x:c r="F3" s="121"/>
      <x:c r="G3" s="121"/>
      <x:c r="H3" s="121"/>
    </x:row>
    <x:row r="4">
      <x:c r="A4" s="122"/>
      <x:c r="B4" s="122"/>
      <x:c r="C4" s="122"/>
      <x:c r="D4" s="122"/>
      <x:c r="E4" s="122"/>
      <x:c r="F4" s="122"/>
      <x:c r="G4" s="122"/>
      <x:c r="H4" s="122"/>
    </x:row>
    <x:row r="5">
      <x:c r="A5" s="135" t="str">
        <x:v>COS formula</x:v>
      </x:c>
      <x:c r="B5" s="135"/>
      <x:c r="C5" s="135"/>
      <x:c r="D5" s="135"/>
      <x:c r="E5" s="122"/>
      <x:c r="F5" s="122"/>
      <x:c r="G5" s="122"/>
      <x:c r="H5" s="122"/>
    </x:row>
    <x:row r="6">
      <x:c r="A6" s="123" t="str">
        <x:v>Input</x:v>
      </x:c>
      <x:c r="B6" s="124" t="str">
        <x:v>Value</x:v>
      </x:c>
      <x:c r="C6" s="124" t="str">
        <x:v>Formula / Basis</x:v>
      </x:c>
      <x:c r="D6" s="125" t="str">
        <x:v>Comment</x:v>
      </x:c>
      <x:c r="E6" s="122"/>
      <x:c r="F6" s="122"/>
      <x:c r="G6" s="122"/>
      <x:c r="H6" s="122"/>
    </x:row>
    <x:row r="7">
      <x:c r="A7" s="126" t="str">
        <x:v>Net stand price</x:v>
      </x:c>
      <x:c r="B7" s="127" t="n">
        <x:f>'01 Assumptions'!B6</x:f>
        <x:v>20000</x:v>
      </x:c>
      <x:c r="C7" s="128" t="str">
        <x:v>Assumptions B6</x:v>
      </x:c>
      <x:c r="D7" s="129" t="str">
        <x:v>Denominator</x:v>
      </x:c>
      <x:c r="E7" s="122"/>
      <x:c r="F7" s="122"/>
      <x:c r="G7" s="122"/>
      <x:c r="H7" s="122"/>
    </x:row>
    <x:row r="8">
      <x:c r="A8" s="126" t="str">
        <x:v>Stand cost</x:v>
      </x:c>
      <x:c r="B8" s="127" t="n">
        <x:f>'01 Assumptions'!B17</x:f>
        <x:v>8000</x:v>
      </x:c>
      <x:c r="C8" s="128" t="str">
        <x:v>Assumptions B17</x:v>
      </x:c>
      <x:c r="D8" s="129" t="str">
        <x:v>From stand cost master</x:v>
      </x:c>
      <x:c r="E8" s="122"/>
      <x:c r="F8" s="122"/>
      <x:c r="G8" s="122"/>
      <x:c r="H8" s="122"/>
    </x:row>
    <x:row r="9">
      <x:c r="A9" s="126" t="str">
        <x:v>Deposit net revenue</x:v>
      </x:c>
      <x:c r="B9" s="127" t="n">
        <x:f>'01 Assumptions'!B10</x:f>
        <x:v>2000</x:v>
      </x:c>
      <x:c r="C9" s="128" t="str">
        <x:v>Assumptions B10</x:v>
      </x:c>
      <x:c r="D9" s="129" t="str">
        <x:v>Deposit numerator</x:v>
      </x:c>
      <x:c r="E9" s="122"/>
      <x:c r="F9" s="122"/>
      <x:c r="G9" s="122"/>
      <x:c r="H9" s="122"/>
    </x:row>
    <x:row r="10">
      <x:c r="A10" s="126" t="str">
        <x:v>Deposit COS</x:v>
      </x:c>
      <x:c r="B10" s="127" t="n">
        <x:f>B8*(B9/B7)</x:f>
        <x:v>800</x:v>
      </x:c>
      <x:c r="C10" s="128" t="str">
        <x:v>Stand cost × deposit net / net price</x:v>
      </x:c>
      <x:c r="D10" s="129" t="str">
        <x:v>Calculated</x:v>
      </x:c>
      <x:c r="E10" s="122"/>
      <x:c r="F10" s="122"/>
      <x:c r="G10" s="122"/>
      <x:c r="H10" s="122"/>
    </x:row>
    <x:row r="11">
      <x:c r="A11" s="131" t="str">
        <x:v>Monthly net revenue</x:v>
      </x:c>
      <x:c r="B11" s="132" t="n">
        <x:f>'01 Assumptions'!B13</x:f>
        <x:v>1000</x:v>
      </x:c>
      <x:c r="C11" s="133" t="str">
        <x:v>Assumptions B13</x:v>
      </x:c>
      <x:c r="D11" s="134" t="str">
        <x:v>Monthly numerator</x:v>
      </x:c>
      <x:c r="E11" s="122"/>
      <x:c r="F11" s="122"/>
      <x:c r="G11" s="122"/>
      <x:c r="H11" s="122"/>
    </x:row>
    <x:row r="12">
      <x:c r="A12" s="122" t="str">
        <x:v>Monthly COS</x:v>
      </x:c>
      <x:c r="B12" s="162" t="n">
        <x:f>B8*(B11/B7)</x:f>
        <x:v>400</x:v>
      </x:c>
      <x:c r="C12" s="122" t="str">
        <x:v>Stand cost × monthly net / net price</x:v>
      </x:c>
      <x:c r="D12" s="122" t="str">
        <x:v>Calculated</x:v>
      </x:c>
      <x:c r="E12" s="122"/>
      <x:c r="F12" s="122"/>
      <x:c r="G12" s="122"/>
      <x:c r="H12" s="122"/>
    </x:row>
    <x:row r="13">
      <x:c r="A13" s="122"/>
      <x:c r="B13" s="122"/>
      <x:c r="C13" s="122"/>
      <x:c r="D13" s="122"/>
      <x:c r="E13" s="122"/>
      <x:c r="F13" s="122"/>
      <x:c r="G13" s="122"/>
      <x:c r="H13" s="122"/>
    </x:row>
    <x:row r="14">
      <x:c r="A14" s="121" t="str">
        <x:v>If the stand cost master is wrong, COS will be wrong. This is the biggest control point in the model.</x:v>
      </x:c>
      <x:c r="B14" s="121"/>
      <x:c r="C14" s="121"/>
      <x:c r="D14" s="121"/>
      <x:c r="E14" s="122"/>
      <x:c r="F14" s="122"/>
      <x:c r="G14" s="122"/>
      <x:c r="H14" s="122"/>
    </x:row>
    <x:row r="15">
      <x:c r="A15" s="121"/>
      <x:c r="B15" s="121"/>
      <x:c r="C15" s="121"/>
      <x:c r="D15" s="121"/>
      <x:c r="E15" s="122"/>
      <x:c r="F15" s="122"/>
      <x:c r="G15" s="122"/>
      <x:c r="H15" s="122"/>
    </x:row>
    <x:row r="16">
      <x:c r="A16" s="122"/>
      <x:c r="B16" s="122"/>
      <x:c r="C16" s="122"/>
      <x:c r="D16" s="122"/>
      <x:c r="E16" s="122"/>
      <x:c r="F16" s="122"/>
      <x:c r="G16" s="122"/>
      <x:c r="H16" s="122"/>
    </x:row>
    <x:row r="17">
      <x:c r="A17" s="135" t="str">
        <x:v>JE template — COS on any payment</x:v>
      </x:c>
      <x:c r="B17" s="135"/>
      <x:c r="C17" s="135"/>
      <x:c r="D17" s="135"/>
      <x:c r="E17" s="135"/>
      <x:c r="F17" s="135"/>
      <x:c r="G17" s="135"/>
      <x:c r="H17" s="135"/>
    </x:row>
    <x:row r="18">
      <x:c r="A18" s="163" t="str">
        <x:v>Date</x:v>
      </x:c>
      <x:c r="B18" s="164" t="str">
        <x:v>Debit Account</x:v>
      </x:c>
      <x:c r="C18" s="164" t="str">
        <x:v>Debit Code</x:v>
      </x:c>
      <x:c r="D18" s="164" t="str">
        <x:v>Credit Account</x:v>
      </x:c>
      <x:c r="E18" s="164" t="str">
        <x:v>Credit Code</x:v>
      </x:c>
      <x:c r="F18" s="164" t="str">
        <x:v>Debit Amount</x:v>
      </x:c>
      <x:c r="G18" s="164" t="str">
        <x:v>Credit Amount</x:v>
      </x:c>
      <x:c r="H18" s="165" t="str">
        <x:v>Narrative</x:v>
      </x:c>
    </x:row>
    <x:row r="19">
      <x:c r="A19" s="122" t="str">
        <x:v>Payment date</x:v>
      </x:c>
      <x:c r="B19" s="122" t="str">
        <x:v>COS - Residential Stands</x:v>
      </x:c>
      <x:c r="C19" s="122" t="str">
        <x:v>501000</x:v>
      </x:c>
      <x:c r="D19" s="122" t="str">
        <x:v>Inventory - Active Allocated Stands</x:v>
      </x:c>
      <x:c r="E19" s="122" t="str">
        <x:v>110120</x:v>
      </x:c>
      <x:c r="F19" s="162" t="str">
        <x:v>Formula-driven</x:v>
      </x:c>
      <x:c r="G19" s="162" t="str">
        <x:v>Formula-driven</x:v>
      </x:c>
      <x:c r="H19" s="122" t="str">
        <x:v>Amount = stand cost × net payment / net contract price</x:v>
      </x:c>
    </x:row>
    <x:row r="20">
      <x:c r="A20" s="122"/>
      <x:c r="B20" s="122"/>
      <x:c r="C20" s="122"/>
      <x:c r="D20" s="122"/>
      <x:c r="E20" s="122"/>
      <x:c r="F20" s="122"/>
      <x:c r="G20" s="122"/>
      <x:c r="H20" s="122"/>
    </x:row>
    <x:row r="21">
      <x:c r="A21" s="122"/>
      <x:c r="B21" s="122"/>
      <x:c r="C21" s="122"/>
      <x:c r="D21" s="122"/>
      <x:c r="E21" s="122"/>
      <x:c r="F21" s="122"/>
      <x:c r="G21" s="122"/>
      <x:c r="H21" s="122"/>
    </x:row>
    <x:row r="22">
      <x:c r="A22" s="122"/>
      <x:c r="B22" s="122"/>
      <x:c r="C22" s="122"/>
      <x:c r="D22" s="122"/>
      <x:c r="E22" s="122"/>
      <x:c r="F22" s="122"/>
      <x:c r="G22" s="122"/>
      <x:c r="H22" s="122"/>
    </x:row>
    <x:row r="23">
      <x:c r="A23" s="122"/>
      <x:c r="B23" s="122"/>
      <x:c r="C23" s="122"/>
      <x:c r="D23" s="122"/>
      <x:c r="E23" s="122"/>
      <x:c r="F23" s="122"/>
      <x:c r="G23" s="122"/>
      <x:c r="H23" s="122"/>
    </x:row>
    <x:row r="24">
      <x:c r="A24" s="122"/>
      <x:c r="B24" s="122"/>
      <x:c r="C24" s="122"/>
      <x:c r="D24" s="122"/>
      <x:c r="E24" s="122"/>
      <x:c r="F24" s="122"/>
      <x:c r="G24" s="122"/>
      <x:c r="H24" s="122"/>
    </x:row>
    <x:row r="25">
      <x:c r="A25" s="122"/>
      <x:c r="B25" s="122"/>
      <x:c r="C25" s="122"/>
      <x:c r="D25" s="122"/>
      <x:c r="E25" s="122"/>
      <x:c r="F25" s="122"/>
      <x:c r="G25" s="122"/>
      <x:c r="H25" s="122"/>
    </x:row>
    <x:row r="26">
      <x:c r="A26" s="122"/>
      <x:c r="B26" s="122"/>
      <x:c r="C26" s="122"/>
      <x:c r="D26" s="122"/>
      <x:c r="E26" s="122"/>
      <x:c r="F26" s="122"/>
      <x:c r="G26" s="122"/>
      <x:c r="H26" s="122"/>
    </x:row>
    <x:row r="27">
      <x:c r="A27" s="122"/>
      <x:c r="B27" s="122"/>
      <x:c r="C27" s="122"/>
      <x:c r="D27" s="122"/>
      <x:c r="E27" s="122"/>
      <x:c r="F27" s="122"/>
      <x:c r="G27" s="122"/>
      <x:c r="H27" s="122"/>
    </x:row>
    <x:row r="28">
      <x:c r="A28" s="122"/>
      <x:c r="B28" s="122"/>
      <x:c r="C28" s="122"/>
      <x:c r="D28" s="122"/>
      <x:c r="E28" s="122"/>
      <x:c r="F28" s="122"/>
      <x:c r="G28" s="122"/>
      <x:c r="H28" s="122"/>
    </x:row>
    <x:row r="29">
      <x:c r="A29" s="122"/>
      <x:c r="B29" s="122"/>
      <x:c r="C29" s="122"/>
      <x:c r="D29" s="122"/>
      <x:c r="E29" s="122"/>
      <x:c r="F29" s="122"/>
      <x:c r="G29" s="122"/>
      <x:c r="H29" s="122"/>
    </x:row>
    <x:row r="30">
      <x:c r="A30" s="122"/>
      <x:c r="B30" s="122"/>
      <x:c r="C30" s="122"/>
      <x:c r="D30" s="122"/>
      <x:c r="E30" s="122"/>
      <x:c r="F30" s="122"/>
      <x:c r="G30" s="122"/>
      <x:c r="H30" s="122"/>
    </x:row>
    <x:row r="31">
      <x:c r="A31" s="122"/>
      <x:c r="B31" s="122"/>
      <x:c r="C31" s="122"/>
      <x:c r="D31" s="122"/>
      <x:c r="E31" s="122"/>
      <x:c r="F31" s="122"/>
      <x:c r="G31" s="122"/>
      <x:c r="H31" s="122"/>
    </x:row>
    <x:row r="32">
      <x:c r="A32" s="122"/>
      <x:c r="B32" s="122"/>
      <x:c r="C32" s="122"/>
      <x:c r="D32" s="122"/>
      <x:c r="E32" s="122"/>
      <x:c r="F32" s="122"/>
      <x:c r="G32" s="122"/>
      <x:c r="H32" s="122"/>
    </x:row>
    <x:row r="33">
      <x:c r="A33" s="122"/>
      <x:c r="B33" s="122"/>
      <x:c r="C33" s="122"/>
      <x:c r="D33" s="122"/>
      <x:c r="E33" s="122"/>
      <x:c r="F33" s="122"/>
      <x:c r="G33" s="122"/>
      <x:c r="H33" s="122"/>
    </x:row>
    <x:row r="34">
      <x:c r="A34" s="122"/>
      <x:c r="B34" s="122"/>
      <x:c r="C34" s="122"/>
      <x:c r="D34" s="122"/>
      <x:c r="E34" s="122"/>
      <x:c r="F34" s="122"/>
      <x:c r="G34" s="122"/>
      <x:c r="H34" s="122"/>
    </x:row>
    <x:row r="35">
      <x:c r="A35" s="122"/>
      <x:c r="B35" s="122"/>
      <x:c r="C35" s="122"/>
      <x:c r="D35" s="122"/>
      <x:c r="E35" s="122"/>
      <x:c r="F35" s="122"/>
      <x:c r="G35" s="122"/>
      <x:c r="H35" s="122"/>
    </x:row>
    <x:row r="36">
      <x:c r="A36" s="122"/>
      <x:c r="B36" s="122"/>
      <x:c r="C36" s="122"/>
      <x:c r="D36" s="122"/>
      <x:c r="E36" s="122"/>
      <x:c r="F36" s="122"/>
      <x:c r="G36" s="122"/>
      <x:c r="H36" s="122"/>
    </x:row>
    <x:row r="37">
      <x:c r="A37" s="122"/>
      <x:c r="B37" s="122"/>
      <x:c r="C37" s="122"/>
      <x:c r="D37" s="122"/>
      <x:c r="E37" s="122"/>
      <x:c r="F37" s="122"/>
      <x:c r="G37" s="122"/>
      <x:c r="H37" s="122"/>
    </x:row>
    <x:row r="38">
      <x:c r="A38" s="122"/>
      <x:c r="B38" s="122"/>
      <x:c r="C38" s="122"/>
      <x:c r="D38" s="122"/>
      <x:c r="E38" s="122"/>
      <x:c r="F38" s="122"/>
      <x:c r="G38" s="122"/>
      <x:c r="H38" s="122"/>
    </x:row>
    <x:row r="39">
      <x:c r="A39" s="122"/>
      <x:c r="B39" s="122"/>
      <x:c r="C39" s="122"/>
      <x:c r="D39" s="122"/>
      <x:c r="E39" s="122"/>
      <x:c r="F39" s="122"/>
      <x:c r="G39" s="122"/>
      <x:c r="H39" s="122"/>
    </x:row>
    <x:row r="40">
      <x:c r="A40" s="122"/>
      <x:c r="B40" s="122"/>
      <x:c r="C40" s="122"/>
      <x:c r="D40" s="122"/>
      <x:c r="E40" s="122"/>
      <x:c r="F40" s="122"/>
      <x:c r="G40" s="122"/>
      <x:c r="H40" s="122"/>
    </x:row>
    <x:row r="41">
      <x:c r="A41" s="122"/>
      <x:c r="B41" s="122"/>
      <x:c r="C41" s="122"/>
      <x:c r="D41" s="122"/>
      <x:c r="E41" s="122"/>
      <x:c r="F41" s="122"/>
      <x:c r="G41" s="122"/>
      <x:c r="H41" s="122"/>
    </x:row>
    <x:row r="42">
      <x:c r="A42" s="122"/>
      <x:c r="B42" s="122"/>
      <x:c r="C42" s="122"/>
      <x:c r="D42" s="122"/>
      <x:c r="E42" s="122"/>
      <x:c r="F42" s="122"/>
      <x:c r="G42" s="122"/>
      <x:c r="H42" s="122"/>
    </x:row>
    <x:row r="43">
      <x:c r="A43" s="122"/>
      <x:c r="B43" s="122"/>
      <x:c r="C43" s="122"/>
      <x:c r="D43" s="122"/>
      <x:c r="E43" s="122"/>
      <x:c r="F43" s="122"/>
      <x:c r="G43" s="122"/>
      <x:c r="H43" s="122"/>
    </x:row>
    <x:row r="44">
      <x:c r="A44" s="122"/>
      <x:c r="B44" s="122"/>
      <x:c r="C44" s="122"/>
      <x:c r="D44" s="122"/>
      <x:c r="E44" s="122"/>
      <x:c r="F44" s="122"/>
      <x:c r="G44" s="122"/>
      <x:c r="H44" s="122"/>
    </x:row>
    <x:row r="45">
      <x:c r="A45" s="122"/>
      <x:c r="B45" s="122"/>
      <x:c r="C45" s="122"/>
      <x:c r="D45" s="122"/>
      <x:c r="E45" s="122"/>
      <x:c r="F45" s="122"/>
      <x:c r="G45" s="122"/>
      <x:c r="H45" s="122"/>
    </x:row>
    <x:row r="46">
      <x:c r="A46" s="122"/>
      <x:c r="B46" s="122"/>
      <x:c r="C46" s="122"/>
      <x:c r="D46" s="122"/>
      <x:c r="E46" s="122"/>
      <x:c r="F46" s="122"/>
      <x:c r="G46" s="122"/>
      <x:c r="H46" s="122"/>
    </x:row>
    <x:row r="47">
      <x:c r="A47" s="122"/>
      <x:c r="B47" s="122"/>
      <x:c r="C47" s="122"/>
      <x:c r="D47" s="122"/>
      <x:c r="E47" s="122"/>
      <x:c r="F47" s="122"/>
      <x:c r="G47" s="122"/>
      <x:c r="H47" s="122"/>
    </x:row>
    <x:row r="48">
      <x:c r="A48" s="122"/>
      <x:c r="B48" s="122"/>
      <x:c r="C48" s="122"/>
      <x:c r="D48" s="122"/>
      <x:c r="E48" s="122"/>
      <x:c r="F48" s="122"/>
      <x:c r="G48" s="122"/>
      <x:c r="H48" s="122"/>
    </x:row>
    <x:row r="49">
      <x:c r="A49" s="122"/>
      <x:c r="B49" s="122"/>
      <x:c r="C49" s="122"/>
      <x:c r="D49" s="122"/>
      <x:c r="E49" s="122"/>
      <x:c r="F49" s="122"/>
      <x:c r="G49" s="122"/>
      <x:c r="H49" s="122"/>
    </x:row>
    <x:row r="50">
      <x:c r="A50" s="122"/>
      <x:c r="B50" s="122"/>
      <x:c r="C50" s="122"/>
      <x:c r="D50" s="122"/>
      <x:c r="E50" s="122"/>
      <x:c r="F50" s="122"/>
      <x:c r="G50" s="122"/>
      <x:c r="H50" s="122"/>
    </x:row>
    <x:row r="51">
      <x:c r="A51" s="122"/>
      <x:c r="B51" s="122"/>
      <x:c r="C51" s="122"/>
      <x:c r="D51" s="122"/>
      <x:c r="E51" s="122"/>
      <x:c r="F51" s="122"/>
      <x:c r="G51" s="122"/>
      <x:c r="H51" s="122"/>
    </x:row>
    <x:row r="52">
      <x:c r="A52" s="122"/>
      <x:c r="B52" s="122"/>
      <x:c r="C52" s="122"/>
      <x:c r="D52" s="122"/>
      <x:c r="E52" s="122"/>
      <x:c r="F52" s="122"/>
      <x:c r="G52" s="122"/>
      <x:c r="H52" s="122"/>
    </x:row>
    <x:row r="53">
      <x:c r="A53" s="122"/>
      <x:c r="B53" s="122"/>
      <x:c r="C53" s="122"/>
      <x:c r="D53" s="122"/>
      <x:c r="E53" s="122"/>
      <x:c r="F53" s="122"/>
      <x:c r="G53" s="122"/>
      <x:c r="H53" s="122"/>
    </x:row>
    <x:row r="54">
      <x:c r="A54" s="122"/>
      <x:c r="B54" s="122"/>
      <x:c r="C54" s="122"/>
      <x:c r="D54" s="122"/>
      <x:c r="E54" s="122"/>
      <x:c r="F54" s="122"/>
      <x:c r="G54" s="122"/>
      <x:c r="H54" s="122"/>
    </x:row>
    <x:row r="55">
      <x:c r="A55" s="122"/>
      <x:c r="B55" s="122"/>
      <x:c r="C55" s="122"/>
      <x:c r="D55" s="122"/>
      <x:c r="E55" s="122"/>
      <x:c r="F55" s="122"/>
      <x:c r="G55" s="122"/>
      <x:c r="H55" s="122"/>
    </x:row>
    <x:row r="56">
      <x:c r="A56" s="122"/>
      <x:c r="B56" s="122"/>
      <x:c r="C56" s="122"/>
      <x:c r="D56" s="122"/>
      <x:c r="E56" s="122"/>
      <x:c r="F56" s="122"/>
      <x:c r="G56" s="122"/>
      <x:c r="H56" s="122"/>
    </x:row>
    <x:row r="57">
      <x:c r="A57" s="122"/>
      <x:c r="B57" s="122"/>
      <x:c r="C57" s="122"/>
      <x:c r="D57" s="122"/>
      <x:c r="E57" s="122"/>
      <x:c r="F57" s="122"/>
      <x:c r="G57" s="122"/>
      <x:c r="H57" s="122"/>
    </x:row>
    <x:row r="58">
      <x:c r="A58" s="122"/>
      <x:c r="B58" s="122"/>
      <x:c r="C58" s="122"/>
      <x:c r="D58" s="122"/>
      <x:c r="E58" s="122"/>
      <x:c r="F58" s="122"/>
      <x:c r="G58" s="122"/>
      <x:c r="H58" s="122"/>
    </x:row>
    <x:row r="59">
      <x:c r="A59" s="122"/>
      <x:c r="B59" s="122"/>
      <x:c r="C59" s="122"/>
      <x:c r="D59" s="122"/>
      <x:c r="E59" s="122"/>
      <x:c r="F59" s="122"/>
      <x:c r="G59" s="122"/>
      <x:c r="H59" s="122"/>
    </x:row>
    <x:row r="60">
      <x:c r="A60" s="122"/>
      <x:c r="B60" s="122"/>
      <x:c r="C60" s="122"/>
      <x:c r="D60" s="122"/>
      <x:c r="E60" s="122"/>
      <x:c r="F60" s="122"/>
      <x:c r="G60" s="122"/>
      <x:c r="H60" s="122"/>
    </x:row>
    <x:row r="61">
      <x:c r="A61" s="122"/>
      <x:c r="B61" s="122"/>
      <x:c r="C61" s="122"/>
      <x:c r="D61" s="122"/>
      <x:c r="E61" s="122"/>
      <x:c r="F61" s="122"/>
      <x:c r="G61" s="122"/>
      <x:c r="H61" s="122"/>
    </x:row>
    <x:row r="62">
      <x:c r="A62" s="122"/>
      <x:c r="B62" s="122"/>
      <x:c r="C62" s="122"/>
      <x:c r="D62" s="122"/>
      <x:c r="E62" s="122"/>
      <x:c r="F62" s="122"/>
      <x:c r="G62" s="122"/>
      <x:c r="H62" s="122"/>
    </x:row>
    <x:row r="63">
      <x:c r="A63" s="122"/>
      <x:c r="B63" s="122"/>
      <x:c r="C63" s="122"/>
      <x:c r="D63" s="122"/>
      <x:c r="E63" s="122"/>
      <x:c r="F63" s="122"/>
      <x:c r="G63" s="122"/>
      <x:c r="H63" s="122"/>
    </x:row>
    <x:row r="64">
      <x:c r="A64" s="122"/>
      <x:c r="B64" s="122"/>
      <x:c r="C64" s="122"/>
      <x:c r="D64" s="122"/>
      <x:c r="E64" s="122"/>
      <x:c r="F64" s="122"/>
      <x:c r="G64" s="122"/>
      <x:c r="H64" s="122"/>
    </x:row>
    <x:row r="65">
      <x:c r="A65" s="122"/>
      <x:c r="B65" s="122"/>
      <x:c r="C65" s="122"/>
      <x:c r="D65" s="122"/>
      <x:c r="E65" s="122"/>
      <x:c r="F65" s="122"/>
      <x:c r="G65" s="122"/>
      <x:c r="H65" s="122"/>
    </x:row>
    <x:row r="66">
      <x:c r="A66" s="122"/>
      <x:c r="B66" s="122"/>
      <x:c r="C66" s="122"/>
      <x:c r="D66" s="122"/>
      <x:c r="E66" s="122"/>
      <x:c r="F66" s="122"/>
      <x:c r="G66" s="122"/>
      <x:c r="H66" s="122"/>
    </x:row>
    <x:row r="67">
      <x:c r="A67" s="122"/>
      <x:c r="B67" s="122"/>
      <x:c r="C67" s="122"/>
      <x:c r="D67" s="122"/>
      <x:c r="E67" s="122"/>
      <x:c r="F67" s="122"/>
      <x:c r="G67" s="122"/>
      <x:c r="H67" s="122"/>
    </x:row>
    <x:row r="68">
      <x:c r="A68" s="122"/>
      <x:c r="B68" s="122"/>
      <x:c r="C68" s="122"/>
      <x:c r="D68" s="122"/>
      <x:c r="E68" s="122"/>
      <x:c r="F68" s="122"/>
      <x:c r="G68" s="122"/>
      <x:c r="H68" s="122"/>
    </x:row>
    <x:row r="69">
      <x:c r="A69" s="122"/>
      <x:c r="B69" s="122"/>
      <x:c r="C69" s="122"/>
      <x:c r="D69" s="122"/>
      <x:c r="E69" s="122"/>
      <x:c r="F69" s="122"/>
      <x:c r="G69" s="122"/>
      <x:c r="H69" s="122"/>
    </x:row>
    <x:row r="70">
      <x:c r="A70" s="122"/>
      <x:c r="B70" s="122"/>
      <x:c r="C70" s="122"/>
      <x:c r="D70" s="122"/>
      <x:c r="E70" s="122"/>
      <x:c r="F70" s="122"/>
      <x:c r="G70" s="122"/>
      <x:c r="H70" s="122"/>
    </x:row>
    <x:row r="71">
      <x:c r="A71" s="122"/>
      <x:c r="B71" s="122"/>
      <x:c r="C71" s="122"/>
      <x:c r="D71" s="122"/>
      <x:c r="E71" s="122"/>
      <x:c r="F71" s="122"/>
      <x:c r="G71" s="122"/>
      <x:c r="H71" s="122"/>
    </x:row>
    <x:row r="72">
      <x:c r="A72" s="122"/>
      <x:c r="B72" s="122"/>
      <x:c r="C72" s="122"/>
      <x:c r="D72" s="122"/>
      <x:c r="E72" s="122"/>
      <x:c r="F72" s="122"/>
      <x:c r="G72" s="122"/>
      <x:c r="H72" s="122"/>
    </x:row>
    <x:row r="73">
      <x:c r="A73" s="122"/>
      <x:c r="B73" s="122"/>
      <x:c r="C73" s="122"/>
      <x:c r="D73" s="122"/>
      <x:c r="E73" s="122"/>
      <x:c r="F73" s="122"/>
      <x:c r="G73" s="122"/>
      <x:c r="H73" s="122"/>
    </x:row>
    <x:row r="74">
      <x:c r="A74" s="122"/>
      <x:c r="B74" s="122"/>
      <x:c r="C74" s="122"/>
      <x:c r="D74" s="122"/>
      <x:c r="E74" s="122"/>
      <x:c r="F74" s="122"/>
      <x:c r="G74" s="122"/>
      <x:c r="H74" s="122"/>
    </x:row>
    <x:row r="75">
      <x:c r="A75" s="122"/>
      <x:c r="B75" s="122"/>
      <x:c r="C75" s="122"/>
      <x:c r="D75" s="122"/>
      <x:c r="E75" s="122"/>
      <x:c r="F75" s="122"/>
      <x:c r="G75" s="122"/>
      <x:c r="H75" s="122"/>
    </x:row>
    <x:row r="76">
      <x:c r="A76" s="122"/>
      <x:c r="B76" s="122"/>
      <x:c r="C76" s="122"/>
      <x:c r="D76" s="122"/>
      <x:c r="E76" s="122"/>
      <x:c r="F76" s="122"/>
      <x:c r="G76" s="122"/>
      <x:c r="H76" s="122"/>
    </x:row>
    <x:row r="77">
      <x:c r="A77" s="122"/>
      <x:c r="B77" s="122"/>
      <x:c r="C77" s="122"/>
      <x:c r="D77" s="122"/>
      <x:c r="E77" s="122"/>
      <x:c r="F77" s="122"/>
      <x:c r="G77" s="122"/>
      <x:c r="H77" s="122"/>
    </x:row>
    <x:row r="78">
      <x:c r="A78" s="122"/>
      <x:c r="B78" s="122"/>
      <x:c r="C78" s="122"/>
      <x:c r="D78" s="122"/>
      <x:c r="E78" s="122"/>
      <x:c r="F78" s="122"/>
      <x:c r="G78" s="122"/>
      <x:c r="H78" s="122"/>
    </x:row>
    <x:row r="79">
      <x:c r="A79" s="122"/>
      <x:c r="B79" s="122"/>
      <x:c r="C79" s="122"/>
      <x:c r="D79" s="122"/>
      <x:c r="E79" s="122"/>
      <x:c r="F79" s="122"/>
      <x:c r="G79" s="122"/>
      <x:c r="H79" s="122"/>
    </x:row>
    <x:row r="80">
      <x:c r="A80" s="122"/>
      <x:c r="B80" s="122"/>
      <x:c r="C80" s="122"/>
      <x:c r="D80" s="122"/>
      <x:c r="E80" s="122"/>
      <x:c r="F80" s="122"/>
      <x:c r="G80" s="122"/>
      <x:c r="H80" s="122"/>
    </x:row>
  </x:sheetData>
  <x:mergeCells>
    <x:mergeCell ref="A1:H1"/>
    <x:mergeCell ref="A2:H3"/>
    <x:mergeCell ref="A5:D5"/>
    <x:mergeCell ref="A14:D15"/>
    <x:mergeCell ref="A17:H1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14" hidden="0" customWidth="1"/>
    <x:col min="4" max="4" width="38" hidden="0" customWidth="1"/>
    <x:col min="5" max="5" width="14" hidden="0" customWidth="1"/>
    <x:col min="6" max="6" width="14" hidden="0" customWidth="1"/>
    <x:col min="7" max="7" width="48" hidden="0" customWidth="1"/>
    <x:col min="8" max="8" width="26" hidden="0" customWidth="1"/>
  </x:cols>
  <x:sheetData>
    <x:row r="1" ht="28" customHeight="1">
      <x:c r="A1" s="6" t="str">
        <x:v>Step 7 — Final Instalment and Transfer</x:v>
      </x:c>
      <x:c r="B1" s="6"/>
      <x:c r="C1" s="6"/>
      <x:c r="D1" s="6"/>
      <x:c r="E1" s="6"/>
      <x:c r="F1" s="6"/>
      <x:c r="G1" s="6"/>
      <x:c r="H1" s="6"/>
    </x:row>
    <x:row r="2" ht="44" customHeight="1">
      <x:c r="A2" s="121" t="str">
        <x:v>Final payment uses the same entries as a monthly instalment. After final payment, receivable, contract liability and Deferred Output VAT should be nil for that stand. Legal transfer is usually a stand register update.</x:v>
      </x:c>
      <x:c r="B2" s="121"/>
      <x:c r="C2" s="121"/>
      <x:c r="D2" s="121"/>
      <x:c r="E2" s="121"/>
      <x:c r="F2" s="121"/>
      <x:c r="G2" s="121"/>
      <x:c r="H2" s="121"/>
    </x:row>
    <x:row r="3" ht="44" customHeight="1">
      <x:c r="A3" s="121"/>
      <x:c r="B3" s="121"/>
      <x:c r="C3" s="121"/>
      <x:c r="D3" s="121"/>
      <x:c r="E3" s="121"/>
      <x:c r="F3" s="121"/>
      <x:c r="G3" s="121"/>
      <x:c r="H3" s="121"/>
    </x:row>
    <x:row r="4">
      <x:c r="A4" s="122"/>
      <x:c r="B4" s="122"/>
      <x:c r="C4" s="122"/>
      <x:c r="D4" s="122"/>
      <x:c r="E4" s="122"/>
      <x:c r="F4" s="122"/>
      <x:c r="G4" s="122"/>
      <x:c r="H4" s="122"/>
    </x:row>
    <x:row r="5">
      <x:c r="A5" s="135" t="str">
        <x:v>JE 1 — Final receipt</x:v>
      </x:c>
      <x:c r="B5" s="135"/>
      <x:c r="C5" s="135"/>
      <x:c r="D5" s="135"/>
      <x:c r="E5" s="135"/>
      <x:c r="F5" s="135"/>
      <x:c r="G5" s="135"/>
      <x:c r="H5" s="135"/>
    </x:row>
    <x:row r="6">
      <x:c r="A6" s="163" t="str">
        <x:v>Date</x:v>
      </x:c>
      <x:c r="B6" s="164" t="str">
        <x:v>Debit Account</x:v>
      </x:c>
      <x:c r="C6" s="164" t="str">
        <x:v>Debit Code</x:v>
      </x:c>
      <x:c r="D6" s="164" t="str">
        <x:v>Credit Account</x:v>
      </x:c>
      <x:c r="E6" s="164" t="str">
        <x:v>Credit Code</x:v>
      </x:c>
      <x:c r="F6" s="164" t="str">
        <x:v>Debit Amount</x:v>
      </x:c>
      <x:c r="G6" s="164" t="str">
        <x:v>Credit Amount</x:v>
      </x:c>
      <x:c r="H6" s="165" t="str">
        <x:v>Narrative</x:v>
      </x:c>
    </x:row>
    <x:row r="7">
      <x:c r="A7" s="122" t="str">
        <x:v>Final payment date</x:v>
      </x:c>
      <x:c r="B7" s="122" t="str">
        <x:v>CABS - Main USD Current Account - 1129888509</x:v>
      </x:c>
      <x:c r="C7" s="122" t="str">
        <x:v>101410</x:v>
      </x:c>
      <x:c r="D7" s="122" t="str">
        <x:v>Account Receivable</x:v>
      </x:c>
      <x:c r="E7" s="122" t="str">
        <x:v>121000</x:v>
      </x:c>
      <x:c r="F7" s="162" t="n">
        <x:f>'01 Assumptions'!B15</x:f>
        <x:v>1155</x:v>
      </x:c>
      <x:c r="G7" s="162" t="n">
        <x:f>'01 Assumptions'!B15</x:f>
        <x:v>1155</x:v>
      </x:c>
      <x:c r="H7" s="122" t="str">
        <x:v>Final instalment received</x:v>
      </x:c>
    </x:row>
    <x:row r="8">
      <x:c r="A8" s="122"/>
      <x:c r="B8" s="122"/>
      <x:c r="C8" s="122"/>
      <x:c r="D8" s="122"/>
      <x:c r="E8" s="122"/>
      <x:c r="F8" s="122"/>
      <x:c r="G8" s="122"/>
      <x:c r="H8" s="122"/>
    </x:row>
    <x:row r="9">
      <x:c r="A9" s="135" t="str">
        <x:v>JE 2 — Final revenue and VAT release</x:v>
      </x:c>
      <x:c r="B9" s="135"/>
      <x:c r="C9" s="135"/>
      <x:c r="D9" s="135"/>
      <x:c r="E9" s="135"/>
      <x:c r="F9" s="135"/>
      <x:c r="G9" s="135"/>
      <x:c r="H9" s="135"/>
    </x:row>
    <x:row r="10">
      <x:c r="A10" s="123" t="str">
        <x:v>Date</x:v>
      </x:c>
      <x:c r="B10" s="124" t="str">
        <x:v>Debit Account</x:v>
      </x:c>
      <x:c r="C10" s="124" t="str">
        <x:v>Debit Code</x:v>
      </x:c>
      <x:c r="D10" s="124" t="str">
        <x:v>Credit Account</x:v>
      </x:c>
      <x:c r="E10" s="124" t="str">
        <x:v>Credit Code</x:v>
      </x:c>
      <x:c r="F10" s="124" t="str">
        <x:v>Debit Amount</x:v>
      </x:c>
      <x:c r="G10" s="124" t="str">
        <x:v>Credit Amount</x:v>
      </x:c>
      <x:c r="H10" s="125" t="str">
        <x:v>Narrative</x:v>
      </x:c>
    </x:row>
    <x:row r="11">
      <x:c r="A11" s="131" t="str">
        <x:v>Final payment date</x:v>
      </x:c>
      <x:c r="B11" s="133" t="str">
        <x:v>Contract Liabilities - Customer Deposits / Instalments</x:v>
      </x:c>
      <x:c r="C11" s="133" t="str">
        <x:v>212010</x:v>
      </x:c>
      <x:c r="D11" s="133" t="str">
        <x:v>Revenue - Residential Stand Sales</x:v>
      </x:c>
      <x:c r="E11" s="133" t="str">
        <x:v>401000</x:v>
      </x:c>
      <x:c r="F11" s="132" t="n">
        <x:f>'01 Assumptions'!B13</x:f>
        <x:v>1000</x:v>
      </x:c>
      <x:c r="G11" s="132" t="n">
        <x:f>'01 Assumptions'!B13</x:f>
        <x:v>1000</x:v>
      </x:c>
      <x:c r="H11" s="134" t="str">
        <x:v>Release final net revenue portion</x:v>
      </x:c>
    </x:row>
    <x:row r="12">
      <x:c r="A12" s="122" t="str">
        <x:v>Final payment date</x:v>
      </x:c>
      <x:c r="B12" s="122" t="str">
        <x:v>Deferred Output VAT</x:v>
      </x:c>
      <x:c r="C12" s="122" t="str">
        <x:v>251020</x:v>
      </x:c>
      <x:c r="D12" s="122" t="str">
        <x:v>VAT Output - ZIMRA</x:v>
      </x:c>
      <x:c r="E12" s="122" t="str">
        <x:v>251010</x:v>
      </x:c>
      <x:c r="F12" s="162" t="n">
        <x:f>'01 Assumptions'!B14</x:f>
        <x:v>155</x:v>
      </x:c>
      <x:c r="G12" s="162" t="n">
        <x:f>'01 Assumptions'!B14</x:f>
        <x:v>155</x:v>
      </x:c>
      <x:c r="H12" s="122" t="str">
        <x:v>Move final VAT portion to VAT payable</x:v>
      </x:c>
    </x:row>
    <x:row r="13">
      <x:c r="A13" s="122"/>
      <x:c r="B13" s="122"/>
      <x:c r="C13" s="122"/>
      <x:c r="D13" s="122"/>
      <x:c r="E13" s="122"/>
      <x:c r="F13" s="122"/>
      <x:c r="G13" s="122"/>
      <x:c r="H13" s="122"/>
    </x:row>
    <x:row r="14">
      <x:c r="A14" s="135" t="str">
        <x:v>JE 3 — Final COS</x:v>
      </x:c>
      <x:c r="B14" s="135"/>
      <x:c r="C14" s="135"/>
      <x:c r="D14" s="135"/>
      <x:c r="E14" s="135"/>
      <x:c r="F14" s="135"/>
      <x:c r="G14" s="135"/>
      <x:c r="H14" s="135"/>
    </x:row>
    <x:row r="15">
      <x:c r="A15" s="163" t="str">
        <x:v>Date</x:v>
      </x:c>
      <x:c r="B15" s="164" t="str">
        <x:v>Debit Account</x:v>
      </x:c>
      <x:c r="C15" s="164" t="str">
        <x:v>Debit Code</x:v>
      </x:c>
      <x:c r="D15" s="164" t="str">
        <x:v>Credit Account</x:v>
      </x:c>
      <x:c r="E15" s="164" t="str">
        <x:v>Credit Code</x:v>
      </x:c>
      <x:c r="F15" s="164" t="str">
        <x:v>Debit Amount</x:v>
      </x:c>
      <x:c r="G15" s="164" t="str">
        <x:v>Credit Amount</x:v>
      </x:c>
      <x:c r="H15" s="165" t="str">
        <x:v>Narrative</x:v>
      </x:c>
    </x:row>
    <x:row r="16">
      <x:c r="A16" s="122" t="str">
        <x:v>Final payment date</x:v>
      </x:c>
      <x:c r="B16" s="122" t="str">
        <x:v>COS - Residential Stands</x:v>
      </x:c>
      <x:c r="C16" s="122" t="str">
        <x:v>501000</x:v>
      </x:c>
      <x:c r="D16" s="122" t="str">
        <x:v>Inventory - Active Allocated Stands</x:v>
      </x:c>
      <x:c r="E16" s="122" t="str">
        <x:v>110120</x:v>
      </x:c>
      <x:c r="F16" s="162" t="n">
        <x:f>'01 Assumptions'!B19</x:f>
        <x:v>400</x:v>
      </x:c>
      <x:c r="G16" s="162" t="n">
        <x:f>'01 Assumptions'!B19</x:f>
        <x:v>400</x:v>
      </x:c>
      <x:c r="H16" s="122" t="str">
        <x:v>Final COS recognition</x:v>
      </x:c>
    </x:row>
    <x:row r="17">
      <x:c r="A17" s="122"/>
      <x:c r="B17" s="122"/>
      <x:c r="C17" s="122"/>
      <x:c r="D17" s="122"/>
      <x:c r="E17" s="122"/>
      <x:c r="F17" s="122"/>
      <x:c r="G17" s="122"/>
      <x:c r="H17" s="122"/>
    </x:row>
    <x:row r="18">
      <x:c r="A18" s="135" t="str">
        <x:v>Expected final balances for the stand</x:v>
      </x:c>
      <x:c r="B18" s="135"/>
      <x:c r="C18" s="135"/>
      <x:c r="D18" s="122"/>
      <x:c r="E18" s="122"/>
      <x:c r="F18" s="122"/>
      <x:c r="G18" s="122"/>
      <x:c r="H18" s="122"/>
    </x:row>
    <x:row r="19">
      <x:c r="A19" s="123" t="str">
        <x:v>Account</x:v>
      </x:c>
      <x:c r="B19" s="124" t="str">
        <x:v>Expected Balance</x:v>
      </x:c>
      <x:c r="C19" s="125" t="str">
        <x:v>Comment</x:v>
      </x:c>
      <x:c r="D19" s="122"/>
      <x:c r="E19" s="122"/>
      <x:c r="F19" s="122"/>
      <x:c r="G19" s="122"/>
      <x:c r="H19" s="122"/>
    </x:row>
    <x:row r="20">
      <x:c r="A20" s="126" t="str">
        <x:v>Account Receivable</x:v>
      </x:c>
      <x:c r="B20" s="127" t="n">
        <x:v>0</x:v>
      </x:c>
      <x:c r="C20" s="129" t="str">
        <x:v>Fully collected</x:v>
      </x:c>
      <x:c r="D20" s="122"/>
      <x:c r="E20" s="122"/>
      <x:c r="F20" s="122"/>
      <x:c r="G20" s="122"/>
      <x:c r="H20" s="122"/>
    </x:row>
    <x:row r="21">
      <x:c r="A21" s="126" t="str">
        <x:v>Contract Liabilities - Customer Deposits / Instalments</x:v>
      </x:c>
      <x:c r="B21" s="127" t="n">
        <x:v>0</x:v>
      </x:c>
      <x:c r="C21" s="129" t="str">
        <x:v>Fully released</x:v>
      </x:c>
      <x:c r="D21" s="122"/>
      <x:c r="E21" s="122"/>
      <x:c r="F21" s="122"/>
      <x:c r="G21" s="122"/>
      <x:c r="H21" s="122"/>
    </x:row>
    <x:row r="22">
      <x:c r="A22" s="126" t="str">
        <x:v>Deferred Output VAT</x:v>
      </x:c>
      <x:c r="B22" s="127" t="n">
        <x:v>0</x:v>
      </x:c>
      <x:c r="C22" s="129" t="str">
        <x:v>Fully moved to VAT Output</x:v>
      </x:c>
      <x:c r="D22" s="122"/>
      <x:c r="E22" s="122"/>
      <x:c r="F22" s="122"/>
      <x:c r="G22" s="122"/>
      <x:c r="H22" s="122"/>
    </x:row>
    <x:row r="23">
      <x:c r="A23" s="126" t="str">
        <x:v>Inventory - Active Allocated Stands</x:v>
      </x:c>
      <x:c r="B23" s="127" t="n">
        <x:v>0</x:v>
      </x:c>
      <x:c r="C23" s="129" t="str">
        <x:v>Fully released to COS</x:v>
      </x:c>
      <x:c r="D23" s="122"/>
      <x:c r="E23" s="122"/>
      <x:c r="F23" s="122"/>
      <x:c r="G23" s="122"/>
      <x:c r="H23" s="122"/>
    </x:row>
    <x:row r="24">
      <x:c r="A24" s="131" t="str">
        <x:v>Revenue - Residential Stand Sales</x:v>
      </x:c>
      <x:c r="B24" s="132" t="n">
        <x:f>'01 Assumptions'!B6</x:f>
        <x:v>20000</x:v>
      </x:c>
      <x:c r="C24" s="134" t="str">
        <x:v>Cumulative net revenue</x:v>
      </x:c>
      <x:c r="D24" s="122"/>
      <x:c r="E24" s="122"/>
      <x:c r="F24" s="122"/>
      <x:c r="G24" s="122"/>
      <x:c r="H24" s="122"/>
    </x:row>
    <x:row r="25">
      <x:c r="A25" s="122" t="str">
        <x:v>COS - Residential Stands</x:v>
      </x:c>
      <x:c r="B25" s="162" t="n">
        <x:f>'01 Assumptions'!B17</x:f>
        <x:v>8000</x:v>
      </x:c>
      <x:c r="C25" s="122" t="str">
        <x:v>Cumulative stand cost</x:v>
      </x:c>
      <x:c r="D25" s="122"/>
      <x:c r="E25" s="122"/>
      <x:c r="F25" s="122"/>
      <x:c r="G25" s="122"/>
      <x:c r="H25" s="122"/>
    </x:row>
    <x:row r="26">
      <x:c r="A26" s="122"/>
      <x:c r="B26" s="122"/>
      <x:c r="C26" s="122"/>
      <x:c r="D26" s="122"/>
      <x:c r="E26" s="122"/>
      <x:c r="F26" s="122"/>
      <x:c r="G26" s="122"/>
      <x:c r="H26" s="122"/>
    </x:row>
    <x:row r="27">
      <x:c r="A27" s="121" t="str">
        <x:v>Transfer itself should update the stand/legal register. Pass-through transfer costs are handled separately.</x:v>
      </x:c>
      <x:c r="B27" s="121"/>
      <x:c r="C27" s="121"/>
      <x:c r="D27" s="122"/>
      <x:c r="E27" s="122"/>
      <x:c r="F27" s="122"/>
      <x:c r="G27" s="122"/>
      <x:c r="H27" s="122"/>
    </x:row>
    <x:row r="28">
      <x:c r="A28" s="121"/>
      <x:c r="B28" s="121"/>
      <x:c r="C28" s="121"/>
      <x:c r="D28" s="122"/>
      <x:c r="E28" s="122"/>
      <x:c r="F28" s="122"/>
      <x:c r="G28" s="122"/>
      <x:c r="H28" s="122"/>
    </x:row>
    <x:row r="29">
      <x:c r="A29" s="122"/>
      <x:c r="B29" s="122"/>
      <x:c r="C29" s="122"/>
      <x:c r="D29" s="122"/>
      <x:c r="E29" s="122"/>
      <x:c r="F29" s="122"/>
      <x:c r="G29" s="122"/>
      <x:c r="H29" s="122"/>
    </x:row>
    <x:row r="30">
      <x:c r="A30" s="122"/>
      <x:c r="B30" s="122"/>
      <x:c r="C30" s="122"/>
      <x:c r="D30" s="122"/>
      <x:c r="E30" s="122"/>
      <x:c r="F30" s="122"/>
      <x:c r="G30" s="122"/>
      <x:c r="H30" s="122"/>
    </x:row>
    <x:row r="31">
      <x:c r="A31" s="122"/>
      <x:c r="B31" s="122"/>
      <x:c r="C31" s="122"/>
      <x:c r="D31" s="122"/>
      <x:c r="E31" s="122"/>
      <x:c r="F31" s="122"/>
      <x:c r="G31" s="122"/>
      <x:c r="H31" s="122"/>
    </x:row>
    <x:row r="32">
      <x:c r="A32" s="122"/>
      <x:c r="B32" s="122"/>
      <x:c r="C32" s="122"/>
      <x:c r="D32" s="122"/>
      <x:c r="E32" s="122"/>
      <x:c r="F32" s="122"/>
      <x:c r="G32" s="122"/>
      <x:c r="H32" s="122"/>
    </x:row>
    <x:row r="33">
      <x:c r="A33" s="122"/>
      <x:c r="B33" s="122"/>
      <x:c r="C33" s="122"/>
      <x:c r="D33" s="122"/>
      <x:c r="E33" s="122"/>
      <x:c r="F33" s="122"/>
      <x:c r="G33" s="122"/>
      <x:c r="H33" s="122"/>
    </x:row>
    <x:row r="34">
      <x:c r="A34" s="122"/>
      <x:c r="B34" s="122"/>
      <x:c r="C34" s="122"/>
      <x:c r="D34" s="122"/>
      <x:c r="E34" s="122"/>
      <x:c r="F34" s="122"/>
      <x:c r="G34" s="122"/>
      <x:c r="H34" s="122"/>
    </x:row>
    <x:row r="35">
      <x:c r="A35" s="122"/>
      <x:c r="B35" s="122"/>
      <x:c r="C35" s="122"/>
      <x:c r="D35" s="122"/>
      <x:c r="E35" s="122"/>
      <x:c r="F35" s="122"/>
      <x:c r="G35" s="122"/>
      <x:c r="H35" s="122"/>
    </x:row>
    <x:row r="36">
      <x:c r="A36" s="122"/>
      <x:c r="B36" s="122"/>
      <x:c r="C36" s="122"/>
      <x:c r="D36" s="122"/>
      <x:c r="E36" s="122"/>
      <x:c r="F36" s="122"/>
      <x:c r="G36" s="122"/>
      <x:c r="H36" s="122"/>
    </x:row>
    <x:row r="37">
      <x:c r="A37" s="122"/>
      <x:c r="B37" s="122"/>
      <x:c r="C37" s="122"/>
      <x:c r="D37" s="122"/>
      <x:c r="E37" s="122"/>
      <x:c r="F37" s="122"/>
      <x:c r="G37" s="122"/>
      <x:c r="H37" s="122"/>
    </x:row>
    <x:row r="38">
      <x:c r="A38" s="122"/>
      <x:c r="B38" s="122"/>
      <x:c r="C38" s="122"/>
      <x:c r="D38" s="122"/>
      <x:c r="E38" s="122"/>
      <x:c r="F38" s="122"/>
      <x:c r="G38" s="122"/>
      <x:c r="H38" s="122"/>
    </x:row>
    <x:row r="39">
      <x:c r="A39" s="122"/>
      <x:c r="B39" s="122"/>
      <x:c r="C39" s="122"/>
      <x:c r="D39" s="122"/>
      <x:c r="E39" s="122"/>
      <x:c r="F39" s="122"/>
      <x:c r="G39" s="122"/>
      <x:c r="H39" s="122"/>
    </x:row>
    <x:row r="40">
      <x:c r="A40" s="122"/>
      <x:c r="B40" s="122"/>
      <x:c r="C40" s="122"/>
      <x:c r="D40" s="122"/>
      <x:c r="E40" s="122"/>
      <x:c r="F40" s="122"/>
      <x:c r="G40" s="122"/>
      <x:c r="H40" s="122"/>
    </x:row>
    <x:row r="41">
      <x:c r="A41" s="122"/>
      <x:c r="B41" s="122"/>
      <x:c r="C41" s="122"/>
      <x:c r="D41" s="122"/>
      <x:c r="E41" s="122"/>
      <x:c r="F41" s="122"/>
      <x:c r="G41" s="122"/>
      <x:c r="H41" s="122"/>
    </x:row>
    <x:row r="42">
      <x:c r="A42" s="122"/>
      <x:c r="B42" s="122"/>
      <x:c r="C42" s="122"/>
      <x:c r="D42" s="122"/>
      <x:c r="E42" s="122"/>
      <x:c r="F42" s="122"/>
      <x:c r="G42" s="122"/>
      <x:c r="H42" s="122"/>
    </x:row>
    <x:row r="43">
      <x:c r="A43" s="122"/>
      <x:c r="B43" s="122"/>
      <x:c r="C43" s="122"/>
      <x:c r="D43" s="122"/>
      <x:c r="E43" s="122"/>
      <x:c r="F43" s="122"/>
      <x:c r="G43" s="122"/>
      <x:c r="H43" s="122"/>
    </x:row>
    <x:row r="44">
      <x:c r="A44" s="122"/>
      <x:c r="B44" s="122"/>
      <x:c r="C44" s="122"/>
      <x:c r="D44" s="122"/>
      <x:c r="E44" s="122"/>
      <x:c r="F44" s="122"/>
      <x:c r="G44" s="122"/>
      <x:c r="H44" s="122"/>
    </x:row>
    <x:row r="45">
      <x:c r="A45" s="122"/>
      <x:c r="B45" s="122"/>
      <x:c r="C45" s="122"/>
      <x:c r="D45" s="122"/>
      <x:c r="E45" s="122"/>
      <x:c r="F45" s="122"/>
      <x:c r="G45" s="122"/>
      <x:c r="H45" s="122"/>
    </x:row>
    <x:row r="46">
      <x:c r="A46" s="122"/>
      <x:c r="B46" s="122"/>
      <x:c r="C46" s="122"/>
      <x:c r="D46" s="122"/>
      <x:c r="E46" s="122"/>
      <x:c r="F46" s="122"/>
      <x:c r="G46" s="122"/>
      <x:c r="H46" s="122"/>
    </x:row>
    <x:row r="47">
      <x:c r="A47" s="122"/>
      <x:c r="B47" s="122"/>
      <x:c r="C47" s="122"/>
      <x:c r="D47" s="122"/>
      <x:c r="E47" s="122"/>
      <x:c r="F47" s="122"/>
      <x:c r="G47" s="122"/>
      <x:c r="H47" s="122"/>
    </x:row>
    <x:row r="48">
      <x:c r="A48" s="122"/>
      <x:c r="B48" s="122"/>
      <x:c r="C48" s="122"/>
      <x:c r="D48" s="122"/>
      <x:c r="E48" s="122"/>
      <x:c r="F48" s="122"/>
      <x:c r="G48" s="122"/>
      <x:c r="H48" s="122"/>
    </x:row>
    <x:row r="49">
      <x:c r="A49" s="122"/>
      <x:c r="B49" s="122"/>
      <x:c r="C49" s="122"/>
      <x:c r="D49" s="122"/>
      <x:c r="E49" s="122"/>
      <x:c r="F49" s="122"/>
      <x:c r="G49" s="122"/>
      <x:c r="H49" s="122"/>
    </x:row>
    <x:row r="50">
      <x:c r="A50" s="122"/>
      <x:c r="B50" s="122"/>
      <x:c r="C50" s="122"/>
      <x:c r="D50" s="122"/>
      <x:c r="E50" s="122"/>
      <x:c r="F50" s="122"/>
      <x:c r="G50" s="122"/>
      <x:c r="H50" s="122"/>
    </x:row>
    <x:row r="51">
      <x:c r="A51" s="122"/>
      <x:c r="B51" s="122"/>
      <x:c r="C51" s="122"/>
      <x:c r="D51" s="122"/>
      <x:c r="E51" s="122"/>
      <x:c r="F51" s="122"/>
      <x:c r="G51" s="122"/>
      <x:c r="H51" s="122"/>
    </x:row>
    <x:row r="52">
      <x:c r="A52" s="122"/>
      <x:c r="B52" s="122"/>
      <x:c r="C52" s="122"/>
      <x:c r="D52" s="122"/>
      <x:c r="E52" s="122"/>
      <x:c r="F52" s="122"/>
      <x:c r="G52" s="122"/>
      <x:c r="H52" s="122"/>
    </x:row>
    <x:row r="53">
      <x:c r="A53" s="122"/>
      <x:c r="B53" s="122"/>
      <x:c r="C53" s="122"/>
      <x:c r="D53" s="122"/>
      <x:c r="E53" s="122"/>
      <x:c r="F53" s="122"/>
      <x:c r="G53" s="122"/>
      <x:c r="H53" s="122"/>
    </x:row>
    <x:row r="54">
      <x:c r="A54" s="122"/>
      <x:c r="B54" s="122"/>
      <x:c r="C54" s="122"/>
      <x:c r="D54" s="122"/>
      <x:c r="E54" s="122"/>
      <x:c r="F54" s="122"/>
      <x:c r="G54" s="122"/>
      <x:c r="H54" s="122"/>
    </x:row>
    <x:row r="55">
      <x:c r="A55" s="122"/>
      <x:c r="B55" s="122"/>
      <x:c r="C55" s="122"/>
      <x:c r="D55" s="122"/>
      <x:c r="E55" s="122"/>
      <x:c r="F55" s="122"/>
      <x:c r="G55" s="122"/>
      <x:c r="H55" s="122"/>
    </x:row>
    <x:row r="56">
      <x:c r="A56" s="122"/>
      <x:c r="B56" s="122"/>
      <x:c r="C56" s="122"/>
      <x:c r="D56" s="122"/>
      <x:c r="E56" s="122"/>
      <x:c r="F56" s="122"/>
      <x:c r="G56" s="122"/>
      <x:c r="H56" s="122"/>
    </x:row>
    <x:row r="57">
      <x:c r="A57" s="122"/>
      <x:c r="B57" s="122"/>
      <x:c r="C57" s="122"/>
      <x:c r="D57" s="122"/>
      <x:c r="E57" s="122"/>
      <x:c r="F57" s="122"/>
      <x:c r="G57" s="122"/>
      <x:c r="H57" s="122"/>
    </x:row>
    <x:row r="58">
      <x:c r="A58" s="122"/>
      <x:c r="B58" s="122"/>
      <x:c r="C58" s="122"/>
      <x:c r="D58" s="122"/>
      <x:c r="E58" s="122"/>
      <x:c r="F58" s="122"/>
      <x:c r="G58" s="122"/>
      <x:c r="H58" s="122"/>
    </x:row>
    <x:row r="59">
      <x:c r="A59" s="122"/>
      <x:c r="B59" s="122"/>
      <x:c r="C59" s="122"/>
      <x:c r="D59" s="122"/>
      <x:c r="E59" s="122"/>
      <x:c r="F59" s="122"/>
      <x:c r="G59" s="122"/>
      <x:c r="H59" s="122"/>
    </x:row>
    <x:row r="60">
      <x:c r="A60" s="122"/>
      <x:c r="B60" s="122"/>
      <x:c r="C60" s="122"/>
      <x:c r="D60" s="122"/>
      <x:c r="E60" s="122"/>
      <x:c r="F60" s="122"/>
      <x:c r="G60" s="122"/>
      <x:c r="H60" s="122"/>
    </x:row>
    <x:row r="61">
      <x:c r="A61" s="122"/>
      <x:c r="B61" s="122"/>
      <x:c r="C61" s="122"/>
      <x:c r="D61" s="122"/>
      <x:c r="E61" s="122"/>
      <x:c r="F61" s="122"/>
      <x:c r="G61" s="122"/>
      <x:c r="H61" s="122"/>
    </x:row>
    <x:row r="62">
      <x:c r="A62" s="122"/>
      <x:c r="B62" s="122"/>
      <x:c r="C62" s="122"/>
      <x:c r="D62" s="122"/>
      <x:c r="E62" s="122"/>
      <x:c r="F62" s="122"/>
      <x:c r="G62" s="122"/>
      <x:c r="H62" s="122"/>
    </x:row>
    <x:row r="63">
      <x:c r="A63" s="122"/>
      <x:c r="B63" s="122"/>
      <x:c r="C63" s="122"/>
      <x:c r="D63" s="122"/>
      <x:c r="E63" s="122"/>
      <x:c r="F63" s="122"/>
      <x:c r="G63" s="122"/>
      <x:c r="H63" s="122"/>
    </x:row>
    <x:row r="64">
      <x:c r="A64" s="122"/>
      <x:c r="B64" s="122"/>
      <x:c r="C64" s="122"/>
      <x:c r="D64" s="122"/>
      <x:c r="E64" s="122"/>
      <x:c r="F64" s="122"/>
      <x:c r="G64" s="122"/>
      <x:c r="H64" s="122"/>
    </x:row>
    <x:row r="65">
      <x:c r="A65" s="122"/>
      <x:c r="B65" s="122"/>
      <x:c r="C65" s="122"/>
      <x:c r="D65" s="122"/>
      <x:c r="E65" s="122"/>
      <x:c r="F65" s="122"/>
      <x:c r="G65" s="122"/>
      <x:c r="H65" s="122"/>
    </x:row>
    <x:row r="66">
      <x:c r="A66" s="122"/>
      <x:c r="B66" s="122"/>
      <x:c r="C66" s="122"/>
      <x:c r="D66" s="122"/>
      <x:c r="E66" s="122"/>
      <x:c r="F66" s="122"/>
      <x:c r="G66" s="122"/>
      <x:c r="H66" s="122"/>
    </x:row>
    <x:row r="67">
      <x:c r="A67" s="122"/>
      <x:c r="B67" s="122"/>
      <x:c r="C67" s="122"/>
      <x:c r="D67" s="122"/>
      <x:c r="E67" s="122"/>
      <x:c r="F67" s="122"/>
      <x:c r="G67" s="122"/>
      <x:c r="H67" s="122"/>
    </x:row>
    <x:row r="68">
      <x:c r="A68" s="122"/>
      <x:c r="B68" s="122"/>
      <x:c r="C68" s="122"/>
      <x:c r="D68" s="122"/>
      <x:c r="E68" s="122"/>
      <x:c r="F68" s="122"/>
      <x:c r="G68" s="122"/>
      <x:c r="H68" s="122"/>
    </x:row>
    <x:row r="69">
      <x:c r="A69" s="122"/>
      <x:c r="B69" s="122"/>
      <x:c r="C69" s="122"/>
      <x:c r="D69" s="122"/>
      <x:c r="E69" s="122"/>
      <x:c r="F69" s="122"/>
      <x:c r="G69" s="122"/>
      <x:c r="H69" s="122"/>
    </x:row>
    <x:row r="70">
      <x:c r="A70" s="122"/>
      <x:c r="B70" s="122"/>
      <x:c r="C70" s="122"/>
      <x:c r="D70" s="122"/>
      <x:c r="E70" s="122"/>
      <x:c r="F70" s="122"/>
      <x:c r="G70" s="122"/>
      <x:c r="H70" s="122"/>
    </x:row>
    <x:row r="71">
      <x:c r="A71" s="122"/>
      <x:c r="B71" s="122"/>
      <x:c r="C71" s="122"/>
      <x:c r="D71" s="122"/>
      <x:c r="E71" s="122"/>
      <x:c r="F71" s="122"/>
      <x:c r="G71" s="122"/>
      <x:c r="H71" s="122"/>
    </x:row>
    <x:row r="72">
      <x:c r="A72" s="122"/>
      <x:c r="B72" s="122"/>
      <x:c r="C72" s="122"/>
      <x:c r="D72" s="122"/>
      <x:c r="E72" s="122"/>
      <x:c r="F72" s="122"/>
      <x:c r="G72" s="122"/>
      <x:c r="H72" s="122"/>
    </x:row>
    <x:row r="73">
      <x:c r="A73" s="122"/>
      <x:c r="B73" s="122"/>
      <x:c r="C73" s="122"/>
      <x:c r="D73" s="122"/>
      <x:c r="E73" s="122"/>
      <x:c r="F73" s="122"/>
      <x:c r="G73" s="122"/>
      <x:c r="H73" s="122"/>
    </x:row>
    <x:row r="74">
      <x:c r="A74" s="122"/>
      <x:c r="B74" s="122"/>
      <x:c r="C74" s="122"/>
      <x:c r="D74" s="122"/>
      <x:c r="E74" s="122"/>
      <x:c r="F74" s="122"/>
      <x:c r="G74" s="122"/>
      <x:c r="H74" s="122"/>
    </x:row>
    <x:row r="75">
      <x:c r="A75" s="122"/>
      <x:c r="B75" s="122"/>
      <x:c r="C75" s="122"/>
      <x:c r="D75" s="122"/>
      <x:c r="E75" s="122"/>
      <x:c r="F75" s="122"/>
      <x:c r="G75" s="122"/>
      <x:c r="H75" s="122"/>
    </x:row>
    <x:row r="76">
      <x:c r="A76" s="122"/>
      <x:c r="B76" s="122"/>
      <x:c r="C76" s="122"/>
      <x:c r="D76" s="122"/>
      <x:c r="E76" s="122"/>
      <x:c r="F76" s="122"/>
      <x:c r="G76" s="122"/>
      <x:c r="H76" s="122"/>
    </x:row>
    <x:row r="77">
      <x:c r="A77" s="122"/>
      <x:c r="B77" s="122"/>
      <x:c r="C77" s="122"/>
      <x:c r="D77" s="122"/>
      <x:c r="E77" s="122"/>
      <x:c r="F77" s="122"/>
      <x:c r="G77" s="122"/>
      <x:c r="H77" s="122"/>
    </x:row>
    <x:row r="78">
      <x:c r="A78" s="122"/>
      <x:c r="B78" s="122"/>
      <x:c r="C78" s="122"/>
      <x:c r="D78" s="122"/>
      <x:c r="E78" s="122"/>
      <x:c r="F78" s="122"/>
      <x:c r="G78" s="122"/>
      <x:c r="H78" s="122"/>
    </x:row>
    <x:row r="79">
      <x:c r="A79" s="122"/>
      <x:c r="B79" s="122"/>
      <x:c r="C79" s="122"/>
      <x:c r="D79" s="122"/>
      <x:c r="E79" s="122"/>
      <x:c r="F79" s="122"/>
      <x:c r="G79" s="122"/>
      <x:c r="H79" s="122"/>
    </x:row>
    <x:row r="80">
      <x:c r="A80" s="122"/>
      <x:c r="B80" s="122"/>
      <x:c r="C80" s="122"/>
      <x:c r="D80" s="122"/>
      <x:c r="E80" s="122"/>
      <x:c r="F80" s="122"/>
      <x:c r="G80" s="122"/>
      <x:c r="H80" s="122"/>
    </x:row>
  </x:sheetData>
  <x:mergeCells>
    <x:mergeCell ref="A1:H1"/>
    <x:mergeCell ref="A2:H3"/>
    <x:mergeCell ref="A5:H5"/>
    <x:mergeCell ref="A9:H9"/>
    <x:mergeCell ref="A14:H14"/>
    <x:mergeCell ref="A18:C18"/>
    <x:mergeCell ref="A27:C28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8" hidden="0" customWidth="1"/>
    <x:col min="3" max="3" width="28" hidden="0" customWidth="1"/>
    <x:col min="4" max="4" width="18" hidden="0" customWidth="1"/>
    <x:col min="5" max="5" width="70" hidden="0" customWidth="1"/>
  </x:cols>
  <x:sheetData>
    <x:row r="1" ht="28" customHeight="1">
      <x:c r="A1" s="6" t="str">
        <x:v>Step 8 — Missed Payment / Arrears</x:v>
      </x:c>
      <x:c r="B1" s="6"/>
      <x:c r="C1" s="6"/>
      <x:c r="D1" s="6"/>
      <x:c r="E1" s="6"/>
      <x:c r="F1" s="6"/>
      <x:c r="G1" s="6"/>
      <x:c r="H1" s="6"/>
    </x:row>
    <x:row r="2" ht="44" customHeight="1">
      <x:c r="A2" s="121" t="str">
        <x:v>A missed scheduled instalment does not trigger an automatic GL entry. The customer payment schedule shows the arrears.</x:v>
      </x:c>
      <x:c r="B2" s="121"/>
      <x:c r="C2" s="121"/>
      <x:c r="D2" s="121"/>
      <x:c r="E2" s="121"/>
      <x:c r="F2" s="122"/>
      <x:c r="G2" s="122"/>
      <x:c r="H2" s="122"/>
    </x:row>
    <x:row r="3" ht="44" customHeight="1">
      <x:c r="A3" s="121"/>
      <x:c r="B3" s="121"/>
      <x:c r="C3" s="121"/>
      <x:c r="D3" s="121"/>
      <x:c r="E3" s="121"/>
      <x:c r="F3" s="122"/>
      <x:c r="G3" s="122"/>
      <x:c r="H3" s="122"/>
    </x:row>
    <x:row r="4">
      <x:c r="A4" s="122"/>
      <x:c r="B4" s="122"/>
      <x:c r="C4" s="122"/>
      <x:c r="D4" s="122"/>
      <x:c r="E4" s="122"/>
      <x:c r="F4" s="122"/>
      <x:c r="G4" s="122"/>
      <x:c r="H4" s="122"/>
    </x:row>
    <x:row r="5">
      <x:c r="A5" s="135" t="str">
        <x:v>Missed instalment event</x:v>
      </x:c>
      <x:c r="B5" s="135"/>
      <x:c r="C5" s="135"/>
      <x:c r="D5" s="135"/>
      <x:c r="E5" s="135"/>
      <x:c r="F5" s="122"/>
      <x:c r="G5" s="122"/>
      <x:c r="H5" s="122"/>
    </x:row>
    <x:row r="6">
      <x:c r="A6" s="163" t="str">
        <x:v>Event</x:v>
      </x:c>
      <x:c r="B6" s="164" t="str">
        <x:v>Debit Account</x:v>
      </x:c>
      <x:c r="C6" s="164" t="str">
        <x:v>Credit Account</x:v>
      </x:c>
      <x:c r="D6" s="164" t="str">
        <x:v>Amount</x:v>
      </x:c>
      <x:c r="E6" s="165" t="str">
        <x:v>Explanation</x:v>
      </x:c>
      <x:c r="F6" s="122"/>
      <x:c r="G6" s="122"/>
      <x:c r="H6" s="122"/>
    </x:row>
    <x:row r="7">
      <x:c r="A7" s="122" t="str">
        <x:v>Customer misses scheduled instalment</x:v>
      </x:c>
      <x:c r="B7" s="122" t="str">
        <x:v>No entry</x:v>
      </x:c>
      <x:c r="C7" s="122" t="str">
        <x:v>No entry</x:v>
      </x:c>
      <x:c r="D7" s="162" t="n">
        <x:v>0</x:v>
      </x:c>
      <x:c r="E7" s="122" t="str">
        <x:v>Track arrears in customer ledger/payment plan. Do not post another receivable accrual.</x:v>
      </x:c>
      <x:c r="F7" s="122"/>
      <x:c r="G7" s="122"/>
      <x:c r="H7" s="122"/>
    </x:row>
    <x:row r="8">
      <x:c r="A8" s="122"/>
      <x:c r="B8" s="122"/>
      <x:c r="C8" s="122"/>
      <x:c r="D8" s="122"/>
      <x:c r="E8" s="122"/>
      <x:c r="F8" s="122"/>
      <x:c r="G8" s="122"/>
      <x:c r="H8" s="122"/>
    </x:row>
    <x:row r="9">
      <x:c r="A9" s="121" t="str">
        <x:v>Formal default/forfeiture entries only happen when default status and management/legal decision are confirmed.</x:v>
      </x:c>
      <x:c r="B9" s="121"/>
      <x:c r="C9" s="121"/>
      <x:c r="D9" s="121"/>
      <x:c r="E9" s="121"/>
      <x:c r="F9" s="122"/>
      <x:c r="G9" s="122"/>
      <x:c r="H9" s="122"/>
    </x:row>
    <x:row r="10">
      <x:c r="A10" s="121"/>
      <x:c r="B10" s="121"/>
      <x:c r="C10" s="121"/>
      <x:c r="D10" s="121"/>
      <x:c r="E10" s="121"/>
      <x:c r="F10" s="122"/>
      <x:c r="G10" s="122"/>
      <x:c r="H10" s="122"/>
    </x:row>
    <x:row r="11">
      <x:c r="A11" s="122"/>
      <x:c r="B11" s="122"/>
      <x:c r="C11" s="122"/>
      <x:c r="D11" s="122"/>
      <x:c r="E11" s="122"/>
      <x:c r="F11" s="122"/>
      <x:c r="G11" s="122"/>
      <x:c r="H11" s="122"/>
    </x:row>
    <x:row r="12">
      <x:c r="A12" s="122"/>
      <x:c r="B12" s="122"/>
      <x:c r="C12" s="122"/>
      <x:c r="D12" s="122"/>
      <x:c r="E12" s="122"/>
      <x:c r="F12" s="122"/>
      <x:c r="G12" s="122"/>
      <x:c r="H12" s="122"/>
    </x:row>
    <x:row r="13">
      <x:c r="A13" s="122"/>
      <x:c r="B13" s="122"/>
      <x:c r="C13" s="122"/>
      <x:c r="D13" s="122"/>
      <x:c r="E13" s="122"/>
      <x:c r="F13" s="122"/>
      <x:c r="G13" s="122"/>
      <x:c r="H13" s="122"/>
    </x:row>
    <x:row r="14">
      <x:c r="A14" s="122"/>
      <x:c r="B14" s="122"/>
      <x:c r="C14" s="122"/>
      <x:c r="D14" s="122"/>
      <x:c r="E14" s="122"/>
      <x:c r="F14" s="122"/>
      <x:c r="G14" s="122"/>
      <x:c r="H14" s="122"/>
    </x:row>
    <x:row r="15">
      <x:c r="A15" s="122"/>
      <x:c r="B15" s="122"/>
      <x:c r="C15" s="122"/>
      <x:c r="D15" s="122"/>
      <x:c r="E15" s="122"/>
      <x:c r="F15" s="122"/>
      <x:c r="G15" s="122"/>
      <x:c r="H15" s="122"/>
    </x:row>
    <x:row r="16">
      <x:c r="A16" s="122"/>
      <x:c r="B16" s="122"/>
      <x:c r="C16" s="122"/>
      <x:c r="D16" s="122"/>
      <x:c r="E16" s="122"/>
      <x:c r="F16" s="122"/>
      <x:c r="G16" s="122"/>
      <x:c r="H16" s="122"/>
    </x:row>
    <x:row r="17">
      <x:c r="A17" s="122"/>
      <x:c r="B17" s="122"/>
      <x:c r="C17" s="122"/>
      <x:c r="D17" s="122"/>
      <x:c r="E17" s="122"/>
      <x:c r="F17" s="122"/>
      <x:c r="G17" s="122"/>
      <x:c r="H17" s="122"/>
    </x:row>
    <x:row r="18">
      <x:c r="A18" s="122"/>
      <x:c r="B18" s="122"/>
      <x:c r="C18" s="122"/>
      <x:c r="D18" s="122"/>
      <x:c r="E18" s="122"/>
      <x:c r="F18" s="122"/>
      <x:c r="G18" s="122"/>
      <x:c r="H18" s="122"/>
    </x:row>
    <x:row r="19">
      <x:c r="A19" s="122"/>
      <x:c r="B19" s="122"/>
      <x:c r="C19" s="122"/>
      <x:c r="D19" s="122"/>
      <x:c r="E19" s="122"/>
      <x:c r="F19" s="122"/>
      <x:c r="G19" s="122"/>
      <x:c r="H19" s="122"/>
    </x:row>
    <x:row r="20">
      <x:c r="A20" s="122"/>
      <x:c r="B20" s="122"/>
      <x:c r="C20" s="122"/>
      <x:c r="D20" s="122"/>
      <x:c r="E20" s="122"/>
      <x:c r="F20" s="122"/>
      <x:c r="G20" s="122"/>
      <x:c r="H20" s="122"/>
    </x:row>
    <x:row r="21">
      <x:c r="A21" s="122"/>
      <x:c r="B21" s="122"/>
      <x:c r="C21" s="122"/>
      <x:c r="D21" s="122"/>
      <x:c r="E21" s="122"/>
      <x:c r="F21" s="122"/>
      <x:c r="G21" s="122"/>
      <x:c r="H21" s="122"/>
    </x:row>
    <x:row r="22">
      <x:c r="A22" s="122"/>
      <x:c r="B22" s="122"/>
      <x:c r="C22" s="122"/>
      <x:c r="D22" s="122"/>
      <x:c r="E22" s="122"/>
      <x:c r="F22" s="122"/>
      <x:c r="G22" s="122"/>
      <x:c r="H22" s="122"/>
    </x:row>
    <x:row r="23">
      <x:c r="A23" s="122"/>
      <x:c r="B23" s="122"/>
      <x:c r="C23" s="122"/>
      <x:c r="D23" s="122"/>
      <x:c r="E23" s="122"/>
      <x:c r="F23" s="122"/>
      <x:c r="G23" s="122"/>
      <x:c r="H23" s="122"/>
    </x:row>
    <x:row r="24">
      <x:c r="A24" s="122"/>
      <x:c r="B24" s="122"/>
      <x:c r="C24" s="122"/>
      <x:c r="D24" s="122"/>
      <x:c r="E24" s="122"/>
      <x:c r="F24" s="122"/>
      <x:c r="G24" s="122"/>
      <x:c r="H24" s="122"/>
    </x:row>
    <x:row r="25">
      <x:c r="A25" s="122"/>
      <x:c r="B25" s="122"/>
      <x:c r="C25" s="122"/>
      <x:c r="D25" s="122"/>
      <x:c r="E25" s="122"/>
      <x:c r="F25" s="122"/>
      <x:c r="G25" s="122"/>
      <x:c r="H25" s="122"/>
    </x:row>
    <x:row r="26">
      <x:c r="A26" s="122"/>
      <x:c r="B26" s="122"/>
      <x:c r="C26" s="122"/>
      <x:c r="D26" s="122"/>
      <x:c r="E26" s="122"/>
      <x:c r="F26" s="122"/>
      <x:c r="G26" s="122"/>
      <x:c r="H26" s="122"/>
    </x:row>
    <x:row r="27">
      <x:c r="A27" s="122"/>
      <x:c r="B27" s="122"/>
      <x:c r="C27" s="122"/>
      <x:c r="D27" s="122"/>
      <x:c r="E27" s="122"/>
      <x:c r="F27" s="122"/>
      <x:c r="G27" s="122"/>
      <x:c r="H27" s="122"/>
    </x:row>
    <x:row r="28">
      <x:c r="A28" s="122"/>
      <x:c r="B28" s="122"/>
      <x:c r="C28" s="122"/>
      <x:c r="D28" s="122"/>
      <x:c r="E28" s="122"/>
      <x:c r="F28" s="122"/>
      <x:c r="G28" s="122"/>
      <x:c r="H28" s="122"/>
    </x:row>
    <x:row r="29">
      <x:c r="A29" s="122"/>
      <x:c r="B29" s="122"/>
      <x:c r="C29" s="122"/>
      <x:c r="D29" s="122"/>
      <x:c r="E29" s="122"/>
      <x:c r="F29" s="122"/>
      <x:c r="G29" s="122"/>
      <x:c r="H29" s="122"/>
    </x:row>
    <x:row r="30">
      <x:c r="A30" s="122"/>
      <x:c r="B30" s="122"/>
      <x:c r="C30" s="122"/>
      <x:c r="D30" s="122"/>
      <x:c r="E30" s="122"/>
      <x:c r="F30" s="122"/>
      <x:c r="G30" s="122"/>
      <x:c r="H30" s="122"/>
    </x:row>
    <x:row r="31">
      <x:c r="A31" s="122"/>
      <x:c r="B31" s="122"/>
      <x:c r="C31" s="122"/>
      <x:c r="D31" s="122"/>
      <x:c r="E31" s="122"/>
      <x:c r="F31" s="122"/>
      <x:c r="G31" s="122"/>
      <x:c r="H31" s="122"/>
    </x:row>
    <x:row r="32">
      <x:c r="A32" s="122"/>
      <x:c r="B32" s="122"/>
      <x:c r="C32" s="122"/>
      <x:c r="D32" s="122"/>
      <x:c r="E32" s="122"/>
      <x:c r="F32" s="122"/>
      <x:c r="G32" s="122"/>
      <x:c r="H32" s="122"/>
    </x:row>
    <x:row r="33">
      <x:c r="A33" s="122"/>
      <x:c r="B33" s="122"/>
      <x:c r="C33" s="122"/>
      <x:c r="D33" s="122"/>
      <x:c r="E33" s="122"/>
      <x:c r="F33" s="122"/>
      <x:c r="G33" s="122"/>
      <x:c r="H33" s="122"/>
    </x:row>
    <x:row r="34">
      <x:c r="A34" s="122"/>
      <x:c r="B34" s="122"/>
      <x:c r="C34" s="122"/>
      <x:c r="D34" s="122"/>
      <x:c r="E34" s="122"/>
      <x:c r="F34" s="122"/>
      <x:c r="G34" s="122"/>
      <x:c r="H34" s="122"/>
    </x:row>
    <x:row r="35">
      <x:c r="A35" s="122"/>
      <x:c r="B35" s="122"/>
      <x:c r="C35" s="122"/>
      <x:c r="D35" s="122"/>
      <x:c r="E35" s="122"/>
      <x:c r="F35" s="122"/>
      <x:c r="G35" s="122"/>
      <x:c r="H35" s="122"/>
    </x:row>
    <x:row r="36">
      <x:c r="A36" s="122"/>
      <x:c r="B36" s="122"/>
      <x:c r="C36" s="122"/>
      <x:c r="D36" s="122"/>
      <x:c r="E36" s="122"/>
      <x:c r="F36" s="122"/>
      <x:c r="G36" s="122"/>
      <x:c r="H36" s="122"/>
    </x:row>
    <x:row r="37">
      <x:c r="A37" s="122"/>
      <x:c r="B37" s="122"/>
      <x:c r="C37" s="122"/>
      <x:c r="D37" s="122"/>
      <x:c r="E37" s="122"/>
      <x:c r="F37" s="122"/>
      <x:c r="G37" s="122"/>
      <x:c r="H37" s="122"/>
    </x:row>
    <x:row r="38">
      <x:c r="A38" s="122"/>
      <x:c r="B38" s="122"/>
      <x:c r="C38" s="122"/>
      <x:c r="D38" s="122"/>
      <x:c r="E38" s="122"/>
      <x:c r="F38" s="122"/>
      <x:c r="G38" s="122"/>
      <x:c r="H38" s="122"/>
    </x:row>
    <x:row r="39">
      <x:c r="A39" s="122"/>
      <x:c r="B39" s="122"/>
      <x:c r="C39" s="122"/>
      <x:c r="D39" s="122"/>
      <x:c r="E39" s="122"/>
      <x:c r="F39" s="122"/>
      <x:c r="G39" s="122"/>
      <x:c r="H39" s="122"/>
    </x:row>
    <x:row r="40">
      <x:c r="A40" s="122"/>
      <x:c r="B40" s="122"/>
      <x:c r="C40" s="122"/>
      <x:c r="D40" s="122"/>
      <x:c r="E40" s="122"/>
      <x:c r="F40" s="122"/>
      <x:c r="G40" s="122"/>
      <x:c r="H40" s="122"/>
    </x:row>
    <x:row r="41">
      <x:c r="A41" s="122"/>
      <x:c r="B41" s="122"/>
      <x:c r="C41" s="122"/>
      <x:c r="D41" s="122"/>
      <x:c r="E41" s="122"/>
      <x:c r="F41" s="122"/>
      <x:c r="G41" s="122"/>
      <x:c r="H41" s="122"/>
    </x:row>
    <x:row r="42">
      <x:c r="A42" s="122"/>
      <x:c r="B42" s="122"/>
      <x:c r="C42" s="122"/>
      <x:c r="D42" s="122"/>
      <x:c r="E42" s="122"/>
      <x:c r="F42" s="122"/>
      <x:c r="G42" s="122"/>
      <x:c r="H42" s="122"/>
    </x:row>
    <x:row r="43">
      <x:c r="A43" s="122"/>
      <x:c r="B43" s="122"/>
      <x:c r="C43" s="122"/>
      <x:c r="D43" s="122"/>
      <x:c r="E43" s="122"/>
      <x:c r="F43" s="122"/>
      <x:c r="G43" s="122"/>
      <x:c r="H43" s="122"/>
    </x:row>
    <x:row r="44">
      <x:c r="A44" s="122"/>
      <x:c r="B44" s="122"/>
      <x:c r="C44" s="122"/>
      <x:c r="D44" s="122"/>
      <x:c r="E44" s="122"/>
      <x:c r="F44" s="122"/>
      <x:c r="G44" s="122"/>
      <x:c r="H44" s="122"/>
    </x:row>
    <x:row r="45">
      <x:c r="A45" s="122"/>
      <x:c r="B45" s="122"/>
      <x:c r="C45" s="122"/>
      <x:c r="D45" s="122"/>
      <x:c r="E45" s="122"/>
      <x:c r="F45" s="122"/>
      <x:c r="G45" s="122"/>
      <x:c r="H45" s="122"/>
    </x:row>
    <x:row r="46">
      <x:c r="A46" s="122"/>
      <x:c r="B46" s="122"/>
      <x:c r="C46" s="122"/>
      <x:c r="D46" s="122"/>
      <x:c r="E46" s="122"/>
      <x:c r="F46" s="122"/>
      <x:c r="G46" s="122"/>
      <x:c r="H46" s="122"/>
    </x:row>
    <x:row r="47">
      <x:c r="A47" s="122"/>
      <x:c r="B47" s="122"/>
      <x:c r="C47" s="122"/>
      <x:c r="D47" s="122"/>
      <x:c r="E47" s="122"/>
      <x:c r="F47" s="122"/>
      <x:c r="G47" s="122"/>
      <x:c r="H47" s="122"/>
    </x:row>
    <x:row r="48">
      <x:c r="A48" s="122"/>
      <x:c r="B48" s="122"/>
      <x:c r="C48" s="122"/>
      <x:c r="D48" s="122"/>
      <x:c r="E48" s="122"/>
      <x:c r="F48" s="122"/>
      <x:c r="G48" s="122"/>
      <x:c r="H48" s="122"/>
    </x:row>
    <x:row r="49">
      <x:c r="A49" s="122"/>
      <x:c r="B49" s="122"/>
      <x:c r="C49" s="122"/>
      <x:c r="D49" s="122"/>
      <x:c r="E49" s="122"/>
      <x:c r="F49" s="122"/>
      <x:c r="G49" s="122"/>
      <x:c r="H49" s="122"/>
    </x:row>
    <x:row r="50">
      <x:c r="A50" s="122"/>
      <x:c r="B50" s="122"/>
      <x:c r="C50" s="122"/>
      <x:c r="D50" s="122"/>
      <x:c r="E50" s="122"/>
      <x:c r="F50" s="122"/>
      <x:c r="G50" s="122"/>
      <x:c r="H50" s="122"/>
    </x:row>
    <x:row r="51">
      <x:c r="A51" s="122"/>
      <x:c r="B51" s="122"/>
      <x:c r="C51" s="122"/>
      <x:c r="D51" s="122"/>
      <x:c r="E51" s="122"/>
      <x:c r="F51" s="122"/>
      <x:c r="G51" s="122"/>
      <x:c r="H51" s="122"/>
    </x:row>
    <x:row r="52">
      <x:c r="A52" s="122"/>
      <x:c r="B52" s="122"/>
      <x:c r="C52" s="122"/>
      <x:c r="D52" s="122"/>
      <x:c r="E52" s="122"/>
      <x:c r="F52" s="122"/>
      <x:c r="G52" s="122"/>
      <x:c r="H52" s="122"/>
    </x:row>
    <x:row r="53">
      <x:c r="A53" s="122"/>
      <x:c r="B53" s="122"/>
      <x:c r="C53" s="122"/>
      <x:c r="D53" s="122"/>
      <x:c r="E53" s="122"/>
      <x:c r="F53" s="122"/>
      <x:c r="G53" s="122"/>
      <x:c r="H53" s="122"/>
    </x:row>
    <x:row r="54">
      <x:c r="A54" s="122"/>
      <x:c r="B54" s="122"/>
      <x:c r="C54" s="122"/>
      <x:c r="D54" s="122"/>
      <x:c r="E54" s="122"/>
      <x:c r="F54" s="122"/>
      <x:c r="G54" s="122"/>
      <x:c r="H54" s="122"/>
    </x:row>
    <x:row r="55">
      <x:c r="A55" s="122"/>
      <x:c r="B55" s="122"/>
      <x:c r="C55" s="122"/>
      <x:c r="D55" s="122"/>
      <x:c r="E55" s="122"/>
      <x:c r="F55" s="122"/>
      <x:c r="G55" s="122"/>
      <x:c r="H55" s="122"/>
    </x:row>
    <x:row r="56">
      <x:c r="A56" s="122"/>
      <x:c r="B56" s="122"/>
      <x:c r="C56" s="122"/>
      <x:c r="D56" s="122"/>
      <x:c r="E56" s="122"/>
      <x:c r="F56" s="122"/>
      <x:c r="G56" s="122"/>
      <x:c r="H56" s="122"/>
    </x:row>
    <x:row r="57">
      <x:c r="A57" s="122"/>
      <x:c r="B57" s="122"/>
      <x:c r="C57" s="122"/>
      <x:c r="D57" s="122"/>
      <x:c r="E57" s="122"/>
      <x:c r="F57" s="122"/>
      <x:c r="G57" s="122"/>
      <x:c r="H57" s="122"/>
    </x:row>
    <x:row r="58">
      <x:c r="A58" s="122"/>
      <x:c r="B58" s="122"/>
      <x:c r="C58" s="122"/>
      <x:c r="D58" s="122"/>
      <x:c r="E58" s="122"/>
      <x:c r="F58" s="122"/>
      <x:c r="G58" s="122"/>
      <x:c r="H58" s="122"/>
    </x:row>
    <x:row r="59">
      <x:c r="A59" s="122"/>
      <x:c r="B59" s="122"/>
      <x:c r="C59" s="122"/>
      <x:c r="D59" s="122"/>
      <x:c r="E59" s="122"/>
      <x:c r="F59" s="122"/>
      <x:c r="G59" s="122"/>
      <x:c r="H59" s="122"/>
    </x:row>
    <x:row r="60">
      <x:c r="A60" s="122"/>
      <x:c r="B60" s="122"/>
      <x:c r="C60" s="122"/>
      <x:c r="D60" s="122"/>
      <x:c r="E60" s="122"/>
      <x:c r="F60" s="122"/>
      <x:c r="G60" s="122"/>
      <x:c r="H60" s="122"/>
    </x:row>
    <x:row r="61">
      <x:c r="A61" s="122"/>
      <x:c r="B61" s="122"/>
      <x:c r="C61" s="122"/>
      <x:c r="D61" s="122"/>
      <x:c r="E61" s="122"/>
      <x:c r="F61" s="122"/>
      <x:c r="G61" s="122"/>
      <x:c r="H61" s="122"/>
    </x:row>
    <x:row r="62">
      <x:c r="A62" s="122"/>
      <x:c r="B62" s="122"/>
      <x:c r="C62" s="122"/>
      <x:c r="D62" s="122"/>
      <x:c r="E62" s="122"/>
      <x:c r="F62" s="122"/>
      <x:c r="G62" s="122"/>
      <x:c r="H62" s="122"/>
    </x:row>
    <x:row r="63">
      <x:c r="A63" s="122"/>
      <x:c r="B63" s="122"/>
      <x:c r="C63" s="122"/>
      <x:c r="D63" s="122"/>
      <x:c r="E63" s="122"/>
      <x:c r="F63" s="122"/>
      <x:c r="G63" s="122"/>
      <x:c r="H63" s="122"/>
    </x:row>
    <x:row r="64">
      <x:c r="A64" s="122"/>
      <x:c r="B64" s="122"/>
      <x:c r="C64" s="122"/>
      <x:c r="D64" s="122"/>
      <x:c r="E64" s="122"/>
      <x:c r="F64" s="122"/>
      <x:c r="G64" s="122"/>
      <x:c r="H64" s="122"/>
    </x:row>
    <x:row r="65">
      <x:c r="A65" s="122"/>
      <x:c r="B65" s="122"/>
      <x:c r="C65" s="122"/>
      <x:c r="D65" s="122"/>
      <x:c r="E65" s="122"/>
      <x:c r="F65" s="122"/>
      <x:c r="G65" s="122"/>
      <x:c r="H65" s="122"/>
    </x:row>
    <x:row r="66">
      <x:c r="A66" s="122"/>
      <x:c r="B66" s="122"/>
      <x:c r="C66" s="122"/>
      <x:c r="D66" s="122"/>
      <x:c r="E66" s="122"/>
      <x:c r="F66" s="122"/>
      <x:c r="G66" s="122"/>
      <x:c r="H66" s="122"/>
    </x:row>
    <x:row r="67">
      <x:c r="A67" s="122"/>
      <x:c r="B67" s="122"/>
      <x:c r="C67" s="122"/>
      <x:c r="D67" s="122"/>
      <x:c r="E67" s="122"/>
      <x:c r="F67" s="122"/>
      <x:c r="G67" s="122"/>
      <x:c r="H67" s="122"/>
    </x:row>
    <x:row r="68">
      <x:c r="A68" s="122"/>
      <x:c r="B68" s="122"/>
      <x:c r="C68" s="122"/>
      <x:c r="D68" s="122"/>
      <x:c r="E68" s="122"/>
      <x:c r="F68" s="122"/>
      <x:c r="G68" s="122"/>
      <x:c r="H68" s="122"/>
    </x:row>
    <x:row r="69">
      <x:c r="A69" s="122"/>
      <x:c r="B69" s="122"/>
      <x:c r="C69" s="122"/>
      <x:c r="D69" s="122"/>
      <x:c r="E69" s="122"/>
      <x:c r="F69" s="122"/>
      <x:c r="G69" s="122"/>
      <x:c r="H69" s="122"/>
    </x:row>
    <x:row r="70">
      <x:c r="A70" s="122"/>
      <x:c r="B70" s="122"/>
      <x:c r="C70" s="122"/>
      <x:c r="D70" s="122"/>
      <x:c r="E70" s="122"/>
      <x:c r="F70" s="122"/>
      <x:c r="G70" s="122"/>
      <x:c r="H70" s="122"/>
    </x:row>
    <x:row r="71">
      <x:c r="A71" s="122"/>
      <x:c r="B71" s="122"/>
      <x:c r="C71" s="122"/>
      <x:c r="D71" s="122"/>
      <x:c r="E71" s="122"/>
      <x:c r="F71" s="122"/>
      <x:c r="G71" s="122"/>
      <x:c r="H71" s="122"/>
    </x:row>
    <x:row r="72">
      <x:c r="A72" s="122"/>
      <x:c r="B72" s="122"/>
      <x:c r="C72" s="122"/>
      <x:c r="D72" s="122"/>
      <x:c r="E72" s="122"/>
      <x:c r="F72" s="122"/>
      <x:c r="G72" s="122"/>
      <x:c r="H72" s="122"/>
    </x:row>
    <x:row r="73">
      <x:c r="A73" s="122"/>
      <x:c r="B73" s="122"/>
      <x:c r="C73" s="122"/>
      <x:c r="D73" s="122"/>
      <x:c r="E73" s="122"/>
      <x:c r="F73" s="122"/>
      <x:c r="G73" s="122"/>
      <x:c r="H73" s="122"/>
    </x:row>
    <x:row r="74">
      <x:c r="A74" s="122"/>
      <x:c r="B74" s="122"/>
      <x:c r="C74" s="122"/>
      <x:c r="D74" s="122"/>
      <x:c r="E74" s="122"/>
      <x:c r="F74" s="122"/>
      <x:c r="G74" s="122"/>
      <x:c r="H74" s="122"/>
    </x:row>
    <x:row r="75">
      <x:c r="A75" s="122"/>
      <x:c r="B75" s="122"/>
      <x:c r="C75" s="122"/>
      <x:c r="D75" s="122"/>
      <x:c r="E75" s="122"/>
      <x:c r="F75" s="122"/>
      <x:c r="G75" s="122"/>
      <x:c r="H75" s="122"/>
    </x:row>
    <x:row r="76">
      <x:c r="A76" s="122"/>
      <x:c r="B76" s="122"/>
      <x:c r="C76" s="122"/>
      <x:c r="D76" s="122"/>
      <x:c r="E76" s="122"/>
      <x:c r="F76" s="122"/>
      <x:c r="G76" s="122"/>
      <x:c r="H76" s="122"/>
    </x:row>
    <x:row r="77">
      <x:c r="A77" s="122"/>
      <x:c r="B77" s="122"/>
      <x:c r="C77" s="122"/>
      <x:c r="D77" s="122"/>
      <x:c r="E77" s="122"/>
      <x:c r="F77" s="122"/>
      <x:c r="G77" s="122"/>
      <x:c r="H77" s="122"/>
    </x:row>
    <x:row r="78">
      <x:c r="A78" s="122"/>
      <x:c r="B78" s="122"/>
      <x:c r="C78" s="122"/>
      <x:c r="D78" s="122"/>
      <x:c r="E78" s="122"/>
      <x:c r="F78" s="122"/>
      <x:c r="G78" s="122"/>
      <x:c r="H78" s="122"/>
    </x:row>
    <x:row r="79">
      <x:c r="A79" s="122"/>
      <x:c r="B79" s="122"/>
      <x:c r="C79" s="122"/>
      <x:c r="D79" s="122"/>
      <x:c r="E79" s="122"/>
      <x:c r="F79" s="122"/>
      <x:c r="G79" s="122"/>
      <x:c r="H79" s="122"/>
    </x:row>
    <x:row r="80">
      <x:c r="A80" s="122"/>
      <x:c r="B80" s="122"/>
      <x:c r="C80" s="122"/>
      <x:c r="D80" s="122"/>
      <x:c r="E80" s="122"/>
      <x:c r="F80" s="122"/>
      <x:c r="G80" s="122"/>
      <x:c r="H80" s="122"/>
    </x:row>
  </x:sheetData>
  <x:mergeCells>
    <x:mergeCell ref="A1:E1"/>
    <x:mergeCell ref="A2:E3"/>
    <x:mergeCell ref="A5:E5"/>
    <x:mergeCell ref="A9:E10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14" hidden="0" customWidth="1"/>
    <x:col min="4" max="4" width="38" hidden="0" customWidth="1"/>
    <x:col min="5" max="5" width="14" hidden="0" customWidth="1"/>
    <x:col min="6" max="6" width="14" hidden="0" customWidth="1"/>
    <x:col min="7" max="7" width="48" hidden="0" customWidth="1"/>
    <x:col min="8" max="8" width="26" hidden="0" customWidth="1"/>
  </x:cols>
  <x:sheetData>
    <x:row r="1" ht="28" customHeight="1">
      <x:c r="A1" s="6" t="str">
        <x:v>Step 9 — Default Pending / Before Forfeiture Approval</x:v>
      </x:c>
      <x:c r="B1" s="6"/>
      <x:c r="C1" s="6"/>
      <x:c r="D1" s="6"/>
      <x:c r="E1" s="6"/>
      <x:c r="F1" s="6"/>
      <x:c r="G1" s="6"/>
      <x:c r="H1" s="6"/>
    </x:row>
    <x:row r="2" ht="44" customHeight="1">
      <x:c r="A2" s="121" t="str">
        <x:v>Default pending is primarily a customer/stand status change. Optional receivable reclassification can be posted if a separate defaulted receivables account is created.</x:v>
      </x:c>
      <x:c r="B2" s="121"/>
      <x:c r="C2" s="121"/>
      <x:c r="D2" s="121"/>
      <x:c r="E2" s="121"/>
      <x:c r="F2" s="121"/>
      <x:c r="G2" s="121"/>
      <x:c r="H2" s="121"/>
    </x:row>
    <x:row r="3" ht="44" customHeight="1">
      <x:c r="A3" s="121"/>
      <x:c r="B3" s="121"/>
      <x:c r="C3" s="121"/>
      <x:c r="D3" s="121"/>
      <x:c r="E3" s="121"/>
      <x:c r="F3" s="121"/>
      <x:c r="G3" s="121"/>
      <x:c r="H3" s="121"/>
    </x:row>
    <x:row r="4">
      <x:c r="A4" s="122"/>
      <x:c r="B4" s="122"/>
      <x:c r="C4" s="122"/>
      <x:c r="D4" s="122"/>
      <x:c r="E4" s="122"/>
      <x:c r="F4" s="122"/>
      <x:c r="G4" s="122"/>
      <x:c r="H4" s="122"/>
    </x:row>
    <x:row r="5">
      <x:c r="A5" s="135" t="str">
        <x:v>Illustrative default position — deposit + 2 monthly instalments paid</x:v>
      </x:c>
      <x:c r="B5" s="135"/>
      <x:c r="C5" s="135"/>
      <x:c r="D5" s="135"/>
      <x:c r="E5" s="122"/>
      <x:c r="F5" s="122"/>
      <x:c r="G5" s="122"/>
      <x:c r="H5" s="122"/>
    </x:row>
    <x:row r="6">
      <x:c r="A6" s="123" t="str">
        <x:v>Item</x:v>
      </x:c>
      <x:c r="B6" s="124" t="str">
        <x:v>Value</x:v>
      </x:c>
      <x:c r="C6" s="124" t="str">
        <x:v>Formula / Basis</x:v>
      </x:c>
      <x:c r="D6" s="125" t="str">
        <x:v>Comment</x:v>
      </x:c>
      <x:c r="E6" s="122"/>
      <x:c r="F6" s="122"/>
      <x:c r="G6" s="122"/>
      <x:c r="H6" s="122"/>
    </x:row>
    <x:row r="7">
      <x:c r="A7" s="126" t="str">
        <x:v>Gross paid to date</x:v>
      </x:c>
      <x:c r="B7" s="127" t="n">
        <x:f>'01 Assumptions'!B12+2*'01 Assumptions'!B15</x:f>
        <x:v>4620</x:v>
      </x:c>
      <x:c r="C7" s="128" t="str">
        <x:v>Deposit gross + 2 monthly gross</x:v>
      </x:c>
      <x:c r="D7" s="129" t="str">
        <x:v>Illustrative</x:v>
      </x:c>
      <x:c r="E7" s="122"/>
      <x:c r="F7" s="122"/>
      <x:c r="G7" s="122"/>
      <x:c r="H7" s="122"/>
    </x:row>
    <x:row r="8">
      <x:c r="A8" s="126" t="str">
        <x:v>Net revenue recognized</x:v>
      </x:c>
      <x:c r="B8" s="127" t="n">
        <x:f>'01 Assumptions'!B10+2*'01 Assumptions'!B13</x:f>
        <x:v>4000</x:v>
      </x:c>
      <x:c r="C8" s="128" t="str">
        <x:v>Deposit net + 2 monthly net</x:v>
      </x:c>
      <x:c r="D8" s="129" t="str">
        <x:v>Already released</x:v>
      </x:c>
      <x:c r="E8" s="122"/>
      <x:c r="F8" s="122"/>
      <x:c r="G8" s="122"/>
      <x:c r="H8" s="122"/>
    </x:row>
    <x:row r="9">
      <x:c r="A9" s="126" t="str">
        <x:v>VAT moved to VAT Output</x:v>
      </x:c>
      <x:c r="B9" s="127" t="n">
        <x:f>'01 Assumptions'!B11+2*'01 Assumptions'!B14</x:f>
        <x:v>620</x:v>
      </x:c>
      <x:c r="C9" s="128" t="str">
        <x:v>Deposit VAT + 2 monthly VAT</x:v>
      </x:c>
      <x:c r="D9" s="129" t="str">
        <x:v>Triggered/payable/remitted</x:v>
      </x:c>
      <x:c r="E9" s="122"/>
      <x:c r="F9" s="122"/>
      <x:c r="G9" s="122"/>
      <x:c r="H9" s="122"/>
    </x:row>
    <x:row r="10">
      <x:c r="A10" s="126" t="str">
        <x:v>COS recognized</x:v>
      </x:c>
      <x:c r="B10" s="127" t="n">
        <x:f>'01 Assumptions'!B18+2*'01 Assumptions'!B19</x:f>
        <x:v>1600</x:v>
      </x:c>
      <x:c r="C10" s="128" t="str">
        <x:v>Deposit COS + 2 monthly COS</x:v>
      </x:c>
      <x:c r="D10" s="129" t="str">
        <x:v>Already recognized</x:v>
      </x:c>
      <x:c r="E10" s="122"/>
      <x:c r="F10" s="122"/>
      <x:c r="G10" s="122"/>
      <x:c r="H10" s="122"/>
    </x:row>
    <x:row r="11">
      <x:c r="A11" s="126" t="str">
        <x:v>Gross receivable remaining</x:v>
      </x:c>
      <x:c r="B11" s="127" t="n">
        <x:f>'01 Assumptions'!B9-B7</x:f>
        <x:v>18480</x:v>
      </x:c>
      <x:c r="C11" s="128" t="str">
        <x:v>Gross contract less gross paid</x:v>
      </x:c>
      <x:c r="D11" s="129" t="str">
        <x:v>Balance due</x:v>
      </x:c>
      <x:c r="E11" s="122"/>
      <x:c r="F11" s="122"/>
      <x:c r="G11" s="122"/>
      <x:c r="H11" s="122"/>
    </x:row>
    <x:row r="12">
      <x:c r="A12" s="131" t="str">
        <x:v>Contract liability remaining</x:v>
      </x:c>
      <x:c r="B12" s="132" t="n">
        <x:f>'01 Assumptions'!B6-B8</x:f>
        <x:v>16000</x:v>
      </x:c>
      <x:c r="C12" s="133" t="str">
        <x:v>Net contract less net revenue recognized</x:v>
      </x:c>
      <x:c r="D12" s="134" t="str">
        <x:v>Unreleased net value</x:v>
      </x:c>
      <x:c r="E12" s="122"/>
      <x:c r="F12" s="122"/>
      <x:c r="G12" s="122"/>
      <x:c r="H12" s="122"/>
    </x:row>
    <x:row r="13">
      <x:c r="A13" s="122" t="str">
        <x:v>Deferred Output VAT remaining</x:v>
      </x:c>
      <x:c r="B13" s="162" t="n">
        <x:f>'01 Assumptions'!B8-B9</x:f>
        <x:v>2480</x:v>
      </x:c>
      <x:c r="C13" s="122" t="str">
        <x:v>VAT contract less VAT moved</x:v>
      </x:c>
      <x:c r="D13" s="122" t="str">
        <x:v>VAT on unpaid balance</x:v>
      </x:c>
      <x:c r="E13" s="122"/>
      <x:c r="F13" s="122"/>
      <x:c r="G13" s="122"/>
      <x:c r="H13" s="122"/>
    </x:row>
    <x:row r="14">
      <x:c r="A14" s="122"/>
      <x:c r="B14" s="122"/>
      <x:c r="C14" s="122"/>
      <x:c r="D14" s="122"/>
      <x:c r="E14" s="122"/>
      <x:c r="F14" s="122"/>
      <x:c r="G14" s="122"/>
      <x:c r="H14" s="122"/>
    </x:row>
    <x:row r="15">
      <x:c r="A15" s="135" t="str">
        <x:v>Optional JE — Reclass receivable if defaulted receivables account exists</x:v>
      </x:c>
      <x:c r="B15" s="135"/>
      <x:c r="C15" s="135"/>
      <x:c r="D15" s="135"/>
      <x:c r="E15" s="135"/>
      <x:c r="F15" s="135"/>
      <x:c r="G15" s="135"/>
      <x:c r="H15" s="135"/>
    </x:row>
    <x:row r="16">
      <x:c r="A16" s="163" t="str">
        <x:v>Date</x:v>
      </x:c>
      <x:c r="B16" s="164" t="str">
        <x:v>Debit Account</x:v>
      </x:c>
      <x:c r="C16" s="164" t="str">
        <x:v>Debit Code</x:v>
      </x:c>
      <x:c r="D16" s="164" t="str">
        <x:v>Credit Account</x:v>
      </x:c>
      <x:c r="E16" s="164" t="str">
        <x:v>Credit Code</x:v>
      </x:c>
      <x:c r="F16" s="164" t="str">
        <x:v>Debit Amount</x:v>
      </x:c>
      <x:c r="G16" s="164" t="str">
        <x:v>Credit Amount</x:v>
      </x:c>
      <x:c r="H16" s="165" t="str">
        <x:v>Narrative</x:v>
      </x:c>
    </x:row>
    <x:row r="17">
      <x:c r="A17" s="122" t="str">
        <x:v>Default date</x:v>
      </x:c>
      <x:c r="B17" s="122" t="str">
        <x:v>Defaulted Customer Receivables</x:v>
      </x:c>
      <x:c r="C17" s="122" t="str">
        <x:v>[create/use if required]</x:v>
      </x:c>
      <x:c r="D17" s="122" t="str">
        <x:v>Account Receivable</x:v>
      </x:c>
      <x:c r="E17" s="122" t="str">
        <x:v>121000</x:v>
      </x:c>
      <x:c r="F17" s="162" t="n">
        <x:f>B11</x:f>
        <x:v>18480</x:v>
      </x:c>
      <x:c r="G17" s="162" t="n">
        <x:f>B11</x:f>
        <x:v>18480</x:v>
      </x:c>
      <x:c r="H17" s="122" t="str">
        <x:v>Optional control reclass of remaining gross receivable</x:v>
      </x:c>
    </x:row>
    <x:row r="18">
      <x:c r="A18" s="122"/>
      <x:c r="B18" s="122"/>
      <x:c r="C18" s="122"/>
      <x:c r="D18" s="122"/>
      <x:c r="E18" s="122"/>
      <x:c r="F18" s="122"/>
      <x:c r="G18" s="122"/>
      <x:c r="H18" s="122"/>
    </x:row>
    <x:row r="19">
      <x:c r="A19" s="121" t="str">
        <x:v>If no separate defaulted receivable account exists, leave this as a customer/stand status change.</x:v>
      </x:c>
      <x:c r="B19" s="121"/>
      <x:c r="C19" s="121"/>
      <x:c r="D19" s="121"/>
      <x:c r="E19" s="121"/>
      <x:c r="F19" s="121"/>
      <x:c r="G19" s="121"/>
      <x:c r="H19" s="121"/>
    </x:row>
    <x:row r="20">
      <x:c r="A20" s="121"/>
      <x:c r="B20" s="121"/>
      <x:c r="C20" s="121"/>
      <x:c r="D20" s="121"/>
      <x:c r="E20" s="121"/>
      <x:c r="F20" s="121"/>
      <x:c r="G20" s="121"/>
      <x:c r="H20" s="121"/>
    </x:row>
    <x:row r="21">
      <x:c r="A21" s="122"/>
      <x:c r="B21" s="122"/>
      <x:c r="C21" s="122"/>
      <x:c r="D21" s="122"/>
      <x:c r="E21" s="122"/>
      <x:c r="F21" s="122"/>
      <x:c r="G21" s="122"/>
      <x:c r="H21" s="122"/>
    </x:row>
    <x:row r="22">
      <x:c r="A22" s="122"/>
      <x:c r="B22" s="122"/>
      <x:c r="C22" s="122"/>
      <x:c r="D22" s="122"/>
      <x:c r="E22" s="122"/>
      <x:c r="F22" s="122"/>
      <x:c r="G22" s="122"/>
      <x:c r="H22" s="122"/>
    </x:row>
    <x:row r="23">
      <x:c r="A23" s="122"/>
      <x:c r="B23" s="122"/>
      <x:c r="C23" s="122"/>
      <x:c r="D23" s="122"/>
      <x:c r="E23" s="122"/>
      <x:c r="F23" s="122"/>
      <x:c r="G23" s="122"/>
      <x:c r="H23" s="122"/>
    </x:row>
    <x:row r="24">
      <x:c r="A24" s="122"/>
      <x:c r="B24" s="122"/>
      <x:c r="C24" s="122"/>
      <x:c r="D24" s="122"/>
      <x:c r="E24" s="122"/>
      <x:c r="F24" s="122"/>
      <x:c r="G24" s="122"/>
      <x:c r="H24" s="122"/>
    </x:row>
    <x:row r="25">
      <x:c r="A25" s="122"/>
      <x:c r="B25" s="122"/>
      <x:c r="C25" s="122"/>
      <x:c r="D25" s="122"/>
      <x:c r="E25" s="122"/>
      <x:c r="F25" s="122"/>
      <x:c r="G25" s="122"/>
      <x:c r="H25" s="122"/>
    </x:row>
    <x:row r="26">
      <x:c r="A26" s="122"/>
      <x:c r="B26" s="122"/>
      <x:c r="C26" s="122"/>
      <x:c r="D26" s="122"/>
      <x:c r="E26" s="122"/>
      <x:c r="F26" s="122"/>
      <x:c r="G26" s="122"/>
      <x:c r="H26" s="122"/>
    </x:row>
    <x:row r="27">
      <x:c r="A27" s="122"/>
      <x:c r="B27" s="122"/>
      <x:c r="C27" s="122"/>
      <x:c r="D27" s="122"/>
      <x:c r="E27" s="122"/>
      <x:c r="F27" s="122"/>
      <x:c r="G27" s="122"/>
      <x:c r="H27" s="122"/>
    </x:row>
    <x:row r="28">
      <x:c r="A28" s="122"/>
      <x:c r="B28" s="122"/>
      <x:c r="C28" s="122"/>
      <x:c r="D28" s="122"/>
      <x:c r="E28" s="122"/>
      <x:c r="F28" s="122"/>
      <x:c r="G28" s="122"/>
      <x:c r="H28" s="122"/>
    </x:row>
    <x:row r="29">
      <x:c r="A29" s="122"/>
      <x:c r="B29" s="122"/>
      <x:c r="C29" s="122"/>
      <x:c r="D29" s="122"/>
      <x:c r="E29" s="122"/>
      <x:c r="F29" s="122"/>
      <x:c r="G29" s="122"/>
      <x:c r="H29" s="122"/>
    </x:row>
    <x:row r="30">
      <x:c r="A30" s="122"/>
      <x:c r="B30" s="122"/>
      <x:c r="C30" s="122"/>
      <x:c r="D30" s="122"/>
      <x:c r="E30" s="122"/>
      <x:c r="F30" s="122"/>
      <x:c r="G30" s="122"/>
      <x:c r="H30" s="122"/>
    </x:row>
    <x:row r="31">
      <x:c r="A31" s="122"/>
      <x:c r="B31" s="122"/>
      <x:c r="C31" s="122"/>
      <x:c r="D31" s="122"/>
      <x:c r="E31" s="122"/>
      <x:c r="F31" s="122"/>
      <x:c r="G31" s="122"/>
      <x:c r="H31" s="122"/>
    </x:row>
    <x:row r="32">
      <x:c r="A32" s="122"/>
      <x:c r="B32" s="122"/>
      <x:c r="C32" s="122"/>
      <x:c r="D32" s="122"/>
      <x:c r="E32" s="122"/>
      <x:c r="F32" s="122"/>
      <x:c r="G32" s="122"/>
      <x:c r="H32" s="122"/>
    </x:row>
    <x:row r="33">
      <x:c r="A33" s="122"/>
      <x:c r="B33" s="122"/>
      <x:c r="C33" s="122"/>
      <x:c r="D33" s="122"/>
      <x:c r="E33" s="122"/>
      <x:c r="F33" s="122"/>
      <x:c r="G33" s="122"/>
      <x:c r="H33" s="122"/>
    </x:row>
    <x:row r="34">
      <x:c r="A34" s="122"/>
      <x:c r="B34" s="122"/>
      <x:c r="C34" s="122"/>
      <x:c r="D34" s="122"/>
      <x:c r="E34" s="122"/>
      <x:c r="F34" s="122"/>
      <x:c r="G34" s="122"/>
      <x:c r="H34" s="122"/>
    </x:row>
    <x:row r="35">
      <x:c r="A35" s="122"/>
      <x:c r="B35" s="122"/>
      <x:c r="C35" s="122"/>
      <x:c r="D35" s="122"/>
      <x:c r="E35" s="122"/>
      <x:c r="F35" s="122"/>
      <x:c r="G35" s="122"/>
      <x:c r="H35" s="122"/>
    </x:row>
    <x:row r="36">
      <x:c r="A36" s="122"/>
      <x:c r="B36" s="122"/>
      <x:c r="C36" s="122"/>
      <x:c r="D36" s="122"/>
      <x:c r="E36" s="122"/>
      <x:c r="F36" s="122"/>
      <x:c r="G36" s="122"/>
      <x:c r="H36" s="122"/>
    </x:row>
    <x:row r="37">
      <x:c r="A37" s="122"/>
      <x:c r="B37" s="122"/>
      <x:c r="C37" s="122"/>
      <x:c r="D37" s="122"/>
      <x:c r="E37" s="122"/>
      <x:c r="F37" s="122"/>
      <x:c r="G37" s="122"/>
      <x:c r="H37" s="122"/>
    </x:row>
    <x:row r="38">
      <x:c r="A38" s="122"/>
      <x:c r="B38" s="122"/>
      <x:c r="C38" s="122"/>
      <x:c r="D38" s="122"/>
      <x:c r="E38" s="122"/>
      <x:c r="F38" s="122"/>
      <x:c r="G38" s="122"/>
      <x:c r="H38" s="122"/>
    </x:row>
    <x:row r="39">
      <x:c r="A39" s="122"/>
      <x:c r="B39" s="122"/>
      <x:c r="C39" s="122"/>
      <x:c r="D39" s="122"/>
      <x:c r="E39" s="122"/>
      <x:c r="F39" s="122"/>
      <x:c r="G39" s="122"/>
      <x:c r="H39" s="122"/>
    </x:row>
    <x:row r="40">
      <x:c r="A40" s="122"/>
      <x:c r="B40" s="122"/>
      <x:c r="C40" s="122"/>
      <x:c r="D40" s="122"/>
      <x:c r="E40" s="122"/>
      <x:c r="F40" s="122"/>
      <x:c r="G40" s="122"/>
      <x:c r="H40" s="122"/>
    </x:row>
    <x:row r="41">
      <x:c r="A41" s="122"/>
      <x:c r="B41" s="122"/>
      <x:c r="C41" s="122"/>
      <x:c r="D41" s="122"/>
      <x:c r="E41" s="122"/>
      <x:c r="F41" s="122"/>
      <x:c r="G41" s="122"/>
      <x:c r="H41" s="122"/>
    </x:row>
    <x:row r="42">
      <x:c r="A42" s="122"/>
      <x:c r="B42" s="122"/>
      <x:c r="C42" s="122"/>
      <x:c r="D42" s="122"/>
      <x:c r="E42" s="122"/>
      <x:c r="F42" s="122"/>
      <x:c r="G42" s="122"/>
      <x:c r="H42" s="122"/>
    </x:row>
    <x:row r="43">
      <x:c r="A43" s="122"/>
      <x:c r="B43" s="122"/>
      <x:c r="C43" s="122"/>
      <x:c r="D43" s="122"/>
      <x:c r="E43" s="122"/>
      <x:c r="F43" s="122"/>
      <x:c r="G43" s="122"/>
      <x:c r="H43" s="122"/>
    </x:row>
    <x:row r="44">
      <x:c r="A44" s="122"/>
      <x:c r="B44" s="122"/>
      <x:c r="C44" s="122"/>
      <x:c r="D44" s="122"/>
      <x:c r="E44" s="122"/>
      <x:c r="F44" s="122"/>
      <x:c r="G44" s="122"/>
      <x:c r="H44" s="122"/>
    </x:row>
    <x:row r="45">
      <x:c r="A45" s="122"/>
      <x:c r="B45" s="122"/>
      <x:c r="C45" s="122"/>
      <x:c r="D45" s="122"/>
      <x:c r="E45" s="122"/>
      <x:c r="F45" s="122"/>
      <x:c r="G45" s="122"/>
      <x:c r="H45" s="122"/>
    </x:row>
    <x:row r="46">
      <x:c r="A46" s="122"/>
      <x:c r="B46" s="122"/>
      <x:c r="C46" s="122"/>
      <x:c r="D46" s="122"/>
      <x:c r="E46" s="122"/>
      <x:c r="F46" s="122"/>
      <x:c r="G46" s="122"/>
      <x:c r="H46" s="122"/>
    </x:row>
    <x:row r="47">
      <x:c r="A47" s="122"/>
      <x:c r="B47" s="122"/>
      <x:c r="C47" s="122"/>
      <x:c r="D47" s="122"/>
      <x:c r="E47" s="122"/>
      <x:c r="F47" s="122"/>
      <x:c r="G47" s="122"/>
      <x:c r="H47" s="122"/>
    </x:row>
    <x:row r="48">
      <x:c r="A48" s="122"/>
      <x:c r="B48" s="122"/>
      <x:c r="C48" s="122"/>
      <x:c r="D48" s="122"/>
      <x:c r="E48" s="122"/>
      <x:c r="F48" s="122"/>
      <x:c r="G48" s="122"/>
      <x:c r="H48" s="122"/>
    </x:row>
    <x:row r="49">
      <x:c r="A49" s="122"/>
      <x:c r="B49" s="122"/>
      <x:c r="C49" s="122"/>
      <x:c r="D49" s="122"/>
      <x:c r="E49" s="122"/>
      <x:c r="F49" s="122"/>
      <x:c r="G49" s="122"/>
      <x:c r="H49" s="122"/>
    </x:row>
    <x:row r="50">
      <x:c r="A50" s="122"/>
      <x:c r="B50" s="122"/>
      <x:c r="C50" s="122"/>
      <x:c r="D50" s="122"/>
      <x:c r="E50" s="122"/>
      <x:c r="F50" s="122"/>
      <x:c r="G50" s="122"/>
      <x:c r="H50" s="122"/>
    </x:row>
    <x:row r="51">
      <x:c r="A51" s="122"/>
      <x:c r="B51" s="122"/>
      <x:c r="C51" s="122"/>
      <x:c r="D51" s="122"/>
      <x:c r="E51" s="122"/>
      <x:c r="F51" s="122"/>
      <x:c r="G51" s="122"/>
      <x:c r="H51" s="122"/>
    </x:row>
    <x:row r="52">
      <x:c r="A52" s="122"/>
      <x:c r="B52" s="122"/>
      <x:c r="C52" s="122"/>
      <x:c r="D52" s="122"/>
      <x:c r="E52" s="122"/>
      <x:c r="F52" s="122"/>
      <x:c r="G52" s="122"/>
      <x:c r="H52" s="122"/>
    </x:row>
    <x:row r="53">
      <x:c r="A53" s="122"/>
      <x:c r="B53" s="122"/>
      <x:c r="C53" s="122"/>
      <x:c r="D53" s="122"/>
      <x:c r="E53" s="122"/>
      <x:c r="F53" s="122"/>
      <x:c r="G53" s="122"/>
      <x:c r="H53" s="122"/>
    </x:row>
    <x:row r="54">
      <x:c r="A54" s="122"/>
      <x:c r="B54" s="122"/>
      <x:c r="C54" s="122"/>
      <x:c r="D54" s="122"/>
      <x:c r="E54" s="122"/>
      <x:c r="F54" s="122"/>
      <x:c r="G54" s="122"/>
      <x:c r="H54" s="122"/>
    </x:row>
    <x:row r="55">
      <x:c r="A55" s="122"/>
      <x:c r="B55" s="122"/>
      <x:c r="C55" s="122"/>
      <x:c r="D55" s="122"/>
      <x:c r="E55" s="122"/>
      <x:c r="F55" s="122"/>
      <x:c r="G55" s="122"/>
      <x:c r="H55" s="122"/>
    </x:row>
    <x:row r="56">
      <x:c r="A56" s="122"/>
      <x:c r="B56" s="122"/>
      <x:c r="C56" s="122"/>
      <x:c r="D56" s="122"/>
      <x:c r="E56" s="122"/>
      <x:c r="F56" s="122"/>
      <x:c r="G56" s="122"/>
      <x:c r="H56" s="122"/>
    </x:row>
    <x:row r="57">
      <x:c r="A57" s="122"/>
      <x:c r="B57" s="122"/>
      <x:c r="C57" s="122"/>
      <x:c r="D57" s="122"/>
      <x:c r="E57" s="122"/>
      <x:c r="F57" s="122"/>
      <x:c r="G57" s="122"/>
      <x:c r="H57" s="122"/>
    </x:row>
    <x:row r="58">
      <x:c r="A58" s="122"/>
      <x:c r="B58" s="122"/>
      <x:c r="C58" s="122"/>
      <x:c r="D58" s="122"/>
      <x:c r="E58" s="122"/>
      <x:c r="F58" s="122"/>
      <x:c r="G58" s="122"/>
      <x:c r="H58" s="122"/>
    </x:row>
    <x:row r="59">
      <x:c r="A59" s="122"/>
      <x:c r="B59" s="122"/>
      <x:c r="C59" s="122"/>
      <x:c r="D59" s="122"/>
      <x:c r="E59" s="122"/>
      <x:c r="F59" s="122"/>
      <x:c r="G59" s="122"/>
      <x:c r="H59" s="122"/>
    </x:row>
    <x:row r="60">
      <x:c r="A60" s="122"/>
      <x:c r="B60" s="122"/>
      <x:c r="C60" s="122"/>
      <x:c r="D60" s="122"/>
      <x:c r="E60" s="122"/>
      <x:c r="F60" s="122"/>
      <x:c r="G60" s="122"/>
      <x:c r="H60" s="122"/>
    </x:row>
    <x:row r="61">
      <x:c r="A61" s="122"/>
      <x:c r="B61" s="122"/>
      <x:c r="C61" s="122"/>
      <x:c r="D61" s="122"/>
      <x:c r="E61" s="122"/>
      <x:c r="F61" s="122"/>
      <x:c r="G61" s="122"/>
      <x:c r="H61" s="122"/>
    </x:row>
    <x:row r="62">
      <x:c r="A62" s="122"/>
      <x:c r="B62" s="122"/>
      <x:c r="C62" s="122"/>
      <x:c r="D62" s="122"/>
      <x:c r="E62" s="122"/>
      <x:c r="F62" s="122"/>
      <x:c r="G62" s="122"/>
      <x:c r="H62" s="122"/>
    </x:row>
    <x:row r="63">
      <x:c r="A63" s="122"/>
      <x:c r="B63" s="122"/>
      <x:c r="C63" s="122"/>
      <x:c r="D63" s="122"/>
      <x:c r="E63" s="122"/>
      <x:c r="F63" s="122"/>
      <x:c r="G63" s="122"/>
      <x:c r="H63" s="122"/>
    </x:row>
    <x:row r="64">
      <x:c r="A64" s="122"/>
      <x:c r="B64" s="122"/>
      <x:c r="C64" s="122"/>
      <x:c r="D64" s="122"/>
      <x:c r="E64" s="122"/>
      <x:c r="F64" s="122"/>
      <x:c r="G64" s="122"/>
      <x:c r="H64" s="122"/>
    </x:row>
    <x:row r="65">
      <x:c r="A65" s="122"/>
      <x:c r="B65" s="122"/>
      <x:c r="C65" s="122"/>
      <x:c r="D65" s="122"/>
      <x:c r="E65" s="122"/>
      <x:c r="F65" s="122"/>
      <x:c r="G65" s="122"/>
      <x:c r="H65" s="122"/>
    </x:row>
    <x:row r="66">
      <x:c r="A66" s="122"/>
      <x:c r="B66" s="122"/>
      <x:c r="C66" s="122"/>
      <x:c r="D66" s="122"/>
      <x:c r="E66" s="122"/>
      <x:c r="F66" s="122"/>
      <x:c r="G66" s="122"/>
      <x:c r="H66" s="122"/>
    </x:row>
    <x:row r="67">
      <x:c r="A67" s="122"/>
      <x:c r="B67" s="122"/>
      <x:c r="C67" s="122"/>
      <x:c r="D67" s="122"/>
      <x:c r="E67" s="122"/>
      <x:c r="F67" s="122"/>
      <x:c r="G67" s="122"/>
      <x:c r="H67" s="122"/>
    </x:row>
    <x:row r="68">
      <x:c r="A68" s="122"/>
      <x:c r="B68" s="122"/>
      <x:c r="C68" s="122"/>
      <x:c r="D68" s="122"/>
      <x:c r="E68" s="122"/>
      <x:c r="F68" s="122"/>
      <x:c r="G68" s="122"/>
      <x:c r="H68" s="122"/>
    </x:row>
    <x:row r="69">
      <x:c r="A69" s="122"/>
      <x:c r="B69" s="122"/>
      <x:c r="C69" s="122"/>
      <x:c r="D69" s="122"/>
      <x:c r="E69" s="122"/>
      <x:c r="F69" s="122"/>
      <x:c r="G69" s="122"/>
      <x:c r="H69" s="122"/>
    </x:row>
    <x:row r="70">
      <x:c r="A70" s="122"/>
      <x:c r="B70" s="122"/>
      <x:c r="C70" s="122"/>
      <x:c r="D70" s="122"/>
      <x:c r="E70" s="122"/>
      <x:c r="F70" s="122"/>
      <x:c r="G70" s="122"/>
      <x:c r="H70" s="122"/>
    </x:row>
    <x:row r="71">
      <x:c r="A71" s="122"/>
      <x:c r="B71" s="122"/>
      <x:c r="C71" s="122"/>
      <x:c r="D71" s="122"/>
      <x:c r="E71" s="122"/>
      <x:c r="F71" s="122"/>
      <x:c r="G71" s="122"/>
      <x:c r="H71" s="122"/>
    </x:row>
    <x:row r="72">
      <x:c r="A72" s="122"/>
      <x:c r="B72" s="122"/>
      <x:c r="C72" s="122"/>
      <x:c r="D72" s="122"/>
      <x:c r="E72" s="122"/>
      <x:c r="F72" s="122"/>
      <x:c r="G72" s="122"/>
      <x:c r="H72" s="122"/>
    </x:row>
    <x:row r="73">
      <x:c r="A73" s="122"/>
      <x:c r="B73" s="122"/>
      <x:c r="C73" s="122"/>
      <x:c r="D73" s="122"/>
      <x:c r="E73" s="122"/>
      <x:c r="F73" s="122"/>
      <x:c r="G73" s="122"/>
      <x:c r="H73" s="122"/>
    </x:row>
    <x:row r="74">
      <x:c r="A74" s="122"/>
      <x:c r="B74" s="122"/>
      <x:c r="C74" s="122"/>
      <x:c r="D74" s="122"/>
      <x:c r="E74" s="122"/>
      <x:c r="F74" s="122"/>
      <x:c r="G74" s="122"/>
      <x:c r="H74" s="122"/>
    </x:row>
    <x:row r="75">
      <x:c r="A75" s="122"/>
      <x:c r="B75" s="122"/>
      <x:c r="C75" s="122"/>
      <x:c r="D75" s="122"/>
      <x:c r="E75" s="122"/>
      <x:c r="F75" s="122"/>
      <x:c r="G75" s="122"/>
      <x:c r="H75" s="122"/>
    </x:row>
    <x:row r="76">
      <x:c r="A76" s="122"/>
      <x:c r="B76" s="122"/>
      <x:c r="C76" s="122"/>
      <x:c r="D76" s="122"/>
      <x:c r="E76" s="122"/>
      <x:c r="F76" s="122"/>
      <x:c r="G76" s="122"/>
      <x:c r="H76" s="122"/>
    </x:row>
    <x:row r="77">
      <x:c r="A77" s="122"/>
      <x:c r="B77" s="122"/>
      <x:c r="C77" s="122"/>
      <x:c r="D77" s="122"/>
      <x:c r="E77" s="122"/>
      <x:c r="F77" s="122"/>
      <x:c r="G77" s="122"/>
      <x:c r="H77" s="122"/>
    </x:row>
    <x:row r="78">
      <x:c r="A78" s="122"/>
      <x:c r="B78" s="122"/>
      <x:c r="C78" s="122"/>
      <x:c r="D78" s="122"/>
      <x:c r="E78" s="122"/>
      <x:c r="F78" s="122"/>
      <x:c r="G78" s="122"/>
      <x:c r="H78" s="122"/>
    </x:row>
    <x:row r="79">
      <x:c r="A79" s="122"/>
      <x:c r="B79" s="122"/>
      <x:c r="C79" s="122"/>
      <x:c r="D79" s="122"/>
      <x:c r="E79" s="122"/>
      <x:c r="F79" s="122"/>
      <x:c r="G79" s="122"/>
      <x:c r="H79" s="122"/>
    </x:row>
    <x:row r="80">
      <x:c r="A80" s="122"/>
      <x:c r="B80" s="122"/>
      <x:c r="C80" s="122"/>
      <x:c r="D80" s="122"/>
      <x:c r="E80" s="122"/>
      <x:c r="F80" s="122"/>
      <x:c r="G80" s="122"/>
      <x:c r="H80" s="122"/>
    </x:row>
  </x:sheetData>
  <x:mergeCells>
    <x:mergeCell ref="A1:H1"/>
    <x:mergeCell ref="A2:H3"/>
    <x:mergeCell ref="A5:D5"/>
    <x:mergeCell ref="A15:H15"/>
    <x:mergeCell ref="A19:H20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14" hidden="0" customWidth="1"/>
    <x:col min="4" max="4" width="38" hidden="0" customWidth="1"/>
    <x:col min="5" max="5" width="14" hidden="0" customWidth="1"/>
    <x:col min="6" max="6" width="14" hidden="0" customWidth="1"/>
    <x:col min="7" max="7" width="48" hidden="0" customWidth="1"/>
    <x:col min="8" max="8" width="26" hidden="0" customWidth="1"/>
  </x:cols>
  <x:sheetData>
    <x:row r="1" ht="28" customHeight="1">
      <x:c r="A1" s="6" t="str">
        <x:v>Step 10 — Forfeiture Approved</x:v>
      </x:c>
      <x:c r="B1" s="6"/>
      <x:c r="C1" s="6"/>
      <x:c r="D1" s="6"/>
      <x:c r="E1" s="6"/>
      <x:c r="F1" s="6"/>
      <x:c r="G1" s="6"/>
      <x:c r="H1" s="6"/>
    </x:row>
    <x:row r="2" ht="44" customHeight="1">
      <x:c r="A2" s="121" t="str">
        <x:v>Once forfeiture is approved, clear unpaid balances, reclass recognized stand sale revenue to forfeiture income, and reverse COS to restore the stand's cost because the stand is recovered for resale.</x:v>
      </x:c>
      <x:c r="B2" s="121"/>
      <x:c r="C2" s="121"/>
      <x:c r="D2" s="121"/>
      <x:c r="E2" s="121"/>
      <x:c r="F2" s="121"/>
      <x:c r="G2" s="121"/>
      <x:c r="H2" s="121"/>
    </x:row>
    <x:row r="3" ht="44" customHeight="1">
      <x:c r="A3" s="121"/>
      <x:c r="B3" s="121"/>
      <x:c r="C3" s="121"/>
      <x:c r="D3" s="121"/>
      <x:c r="E3" s="121"/>
      <x:c r="F3" s="121"/>
      <x:c r="G3" s="121"/>
      <x:c r="H3" s="121"/>
    </x:row>
    <x:row r="4">
      <x:c r="A4" s="122"/>
      <x:c r="B4" s="122"/>
      <x:c r="C4" s="122"/>
      <x:c r="D4" s="122"/>
      <x:c r="E4" s="122"/>
      <x:c r="F4" s="122"/>
      <x:c r="G4" s="122"/>
      <x:c r="H4" s="122"/>
    </x:row>
    <x:row r="5">
      <x:c r="A5" s="135" t="str">
        <x:v>Forfeiture inputs — deposit + 2 monthly instalments paid</x:v>
      </x:c>
      <x:c r="B5" s="135"/>
      <x:c r="C5" s="135"/>
      <x:c r="D5" s="135"/>
      <x:c r="E5" s="122"/>
      <x:c r="F5" s="122"/>
      <x:c r="G5" s="122"/>
      <x:c r="H5" s="122"/>
    </x:row>
    <x:row r="6">
      <x:c r="A6" s="123" t="str">
        <x:v>Item</x:v>
      </x:c>
      <x:c r="B6" s="124" t="str">
        <x:v>Value</x:v>
      </x:c>
      <x:c r="C6" s="124" t="str">
        <x:v>Formula / Basis</x:v>
      </x:c>
      <x:c r="D6" s="125" t="str">
        <x:v>Comment</x:v>
      </x:c>
      <x:c r="E6" s="122"/>
      <x:c r="F6" s="122"/>
      <x:c r="G6" s="122"/>
      <x:c r="H6" s="122"/>
    </x:row>
    <x:row r="7">
      <x:c r="A7" s="126" t="str">
        <x:v>Gross paid to date</x:v>
      </x:c>
      <x:c r="B7" s="127" t="n">
        <x:f>'01 Assumptions'!B12+2*'01 Assumptions'!B15</x:f>
        <x:v>4620</x:v>
      </x:c>
      <x:c r="C7" s="128" t="str">
        <x:v>Deposit gross + 2 monthly gross</x:v>
      </x:c>
      <x:c r="D7" s="129" t="str">
        <x:v>Illustrative</x:v>
      </x:c>
      <x:c r="E7" s="122"/>
      <x:c r="F7" s="122"/>
      <x:c r="G7" s="122"/>
      <x:c r="H7" s="122"/>
    </x:row>
    <x:row r="8">
      <x:c r="A8" s="126" t="str">
        <x:v>Net revenue recognized to date</x:v>
      </x:c>
      <x:c r="B8" s="127" t="n">
        <x:f>'01 Assumptions'!B10+2*'01 Assumptions'!B13</x:f>
        <x:v>4000</x:v>
      </x:c>
      <x:c r="C8" s="128" t="str">
        <x:v>Deposit net + 2 monthly net</x:v>
      </x:c>
      <x:c r="D8" s="129" t="str">
        <x:v>To reclass</x:v>
      </x:c>
      <x:c r="E8" s="122"/>
      <x:c r="F8" s="122"/>
      <x:c r="G8" s="122"/>
      <x:c r="H8" s="122"/>
    </x:row>
    <x:row r="9">
      <x:c r="A9" s="126" t="str">
        <x:v>VAT moved to VAT Output</x:v>
      </x:c>
      <x:c r="B9" s="127" t="n">
        <x:f>'01 Assumptions'!B11+2*'01 Assumptions'!B14</x:f>
        <x:v>620</x:v>
      </x:c>
      <x:c r="C9" s="128" t="str">
        <x:v>Deposit VAT + 2 monthly VAT</x:v>
      </x:c>
      <x:c r="D9" s="129" t="str">
        <x:v>Already triggered</x:v>
      </x:c>
      <x:c r="E9" s="122"/>
      <x:c r="F9" s="122"/>
      <x:c r="G9" s="122"/>
      <x:c r="H9" s="122"/>
    </x:row>
    <x:row r="10">
      <x:c r="A10" s="126" t="str">
        <x:v>COS recognized to date</x:v>
      </x:c>
      <x:c r="B10" s="127" t="n">
        <x:f>'01 Assumptions'!B18+2*'01 Assumptions'!B19</x:f>
        <x:v>1600</x:v>
      </x:c>
      <x:c r="C10" s="128" t="str">
        <x:v>Deposit COS + 2 monthly COS</x:v>
      </x:c>
      <x:c r="D10" s="129" t="str">
        <x:v>To reverse</x:v>
      </x:c>
      <x:c r="E10" s="122"/>
      <x:c r="F10" s="122"/>
      <x:c r="G10" s="122"/>
      <x:c r="H10" s="122"/>
    </x:row>
    <x:row r="11">
      <x:c r="A11" s="126" t="str">
        <x:v>Gross receivable remaining</x:v>
      </x:c>
      <x:c r="B11" s="127" t="n">
        <x:f>'01 Assumptions'!B9-B7</x:f>
        <x:v>18480</x:v>
      </x:c>
      <x:c r="C11" s="128" t="str">
        <x:v>Gross contract less gross paid</x:v>
      </x:c>
      <x:c r="D11" s="129" t="str">
        <x:v>To clear</x:v>
      </x:c>
      <x:c r="E11" s="122"/>
      <x:c r="F11" s="122"/>
      <x:c r="G11" s="122"/>
      <x:c r="H11" s="122"/>
    </x:row>
    <x:row r="12">
      <x:c r="A12" s="131" t="str">
        <x:v>Contract liability remaining</x:v>
      </x:c>
      <x:c r="B12" s="132" t="n">
        <x:f>'01 Assumptions'!B6-B8</x:f>
        <x:v>16000</x:v>
      </x:c>
      <x:c r="C12" s="133" t="str">
        <x:v>Net contract less recognized net revenue</x:v>
      </x:c>
      <x:c r="D12" s="134" t="str">
        <x:v>To clear</x:v>
      </x:c>
      <x:c r="E12" s="122"/>
      <x:c r="F12" s="122"/>
      <x:c r="G12" s="122"/>
      <x:c r="H12" s="122"/>
    </x:row>
    <x:row r="13">
      <x:c r="A13" s="122" t="str">
        <x:v>Deferred Output VAT remaining</x:v>
      </x:c>
      <x:c r="B13" s="162" t="n">
        <x:f>'01 Assumptions'!B8-B9</x:f>
        <x:v>2480</x:v>
      </x:c>
      <x:c r="C13" s="122" t="str">
        <x:v>Total deferred VAT less moved to VAT Output</x:v>
      </x:c>
      <x:c r="D13" s="122" t="str">
        <x:v>To clear</x:v>
      </x:c>
      <x:c r="E13" s="122"/>
      <x:c r="F13" s="122"/>
      <x:c r="G13" s="122"/>
      <x:c r="H13" s="122"/>
    </x:row>
    <x:row r="14">
      <x:c r="A14" s="122"/>
      <x:c r="B14" s="122"/>
      <x:c r="C14" s="122"/>
      <x:c r="D14" s="122"/>
      <x:c r="E14" s="122"/>
      <x:c r="F14" s="122"/>
      <x:c r="G14" s="122"/>
      <x:c r="H14" s="122"/>
    </x:row>
    <x:row r="15">
      <x:c r="A15" s="135" t="str">
        <x:v>JE 1 — Clear unpaid balance</x:v>
      </x:c>
      <x:c r="B15" s="135"/>
      <x:c r="C15" s="135"/>
      <x:c r="D15" s="135"/>
      <x:c r="E15" s="135"/>
      <x:c r="F15" s="135"/>
      <x:c r="G15" s="135"/>
      <x:c r="H15" s="135"/>
    </x:row>
    <x:row r="16">
      <x:c r="A16" s="123" t="str">
        <x:v>Date</x:v>
      </x:c>
      <x:c r="B16" s="124" t="str">
        <x:v>Debit Account</x:v>
      </x:c>
      <x:c r="C16" s="124" t="str">
        <x:v>Debit Code</x:v>
      </x:c>
      <x:c r="D16" s="124" t="str">
        <x:v>Credit Account</x:v>
      </x:c>
      <x:c r="E16" s="124" t="str">
        <x:v>Credit Code</x:v>
      </x:c>
      <x:c r="F16" s="124" t="str">
        <x:v>Debit Amount</x:v>
      </x:c>
      <x:c r="G16" s="124" t="str">
        <x:v>Credit Amount</x:v>
      </x:c>
      <x:c r="H16" s="125" t="str">
        <x:v>Narrative</x:v>
      </x:c>
    </x:row>
    <x:row r="17">
      <x:c r="A17" s="131" t="str">
        <x:v>Forfeiture date</x:v>
      </x:c>
      <x:c r="B17" s="133" t="str">
        <x:v>Contract Liabilities - Customer Deposits / Instalments</x:v>
      </x:c>
      <x:c r="C17" s="133" t="str">
        <x:v>212010</x:v>
      </x:c>
      <x:c r="D17" s="133" t="str">
        <x:v>Account Receivable</x:v>
      </x:c>
      <x:c r="E17" s="133" t="str">
        <x:v>121000</x:v>
      </x:c>
      <x:c r="F17" s="132" t="n">
        <x:f>B12</x:f>
        <x:v>16000</x:v>
      </x:c>
      <x:c r="G17" s="132" t="n">
        <x:f>B12</x:f>
        <x:v>16000</x:v>
      </x:c>
      <x:c r="H17" s="134" t="str">
        <x:v>Clear unpaid net contract balance</x:v>
      </x:c>
    </x:row>
    <x:row r="18">
      <x:c r="A18" s="122" t="str">
        <x:v>Forfeiture date</x:v>
      </x:c>
      <x:c r="B18" s="122" t="str">
        <x:v>Deferred Output VAT</x:v>
      </x:c>
      <x:c r="C18" s="122" t="str">
        <x:v>251020</x:v>
      </x:c>
      <x:c r="D18" s="122" t="str">
        <x:v>Account Receivable</x:v>
      </x:c>
      <x:c r="E18" s="122" t="str">
        <x:v>121000</x:v>
      </x:c>
      <x:c r="F18" s="162" t="n">
        <x:f>B13</x:f>
        <x:v>2480</x:v>
      </x:c>
      <x:c r="G18" s="162" t="n">
        <x:f>B13</x:f>
        <x:v>2480</x:v>
      </x:c>
      <x:c r="H18" s="122" t="str">
        <x:v>Clear VAT portion on unpaid balance</x:v>
      </x:c>
    </x:row>
    <x:row r="19">
      <x:c r="A19" s="122"/>
      <x:c r="B19" s="122"/>
      <x:c r="C19" s="122"/>
      <x:c r="D19" s="122"/>
      <x:c r="E19" s="122"/>
      <x:c r="F19" s="122"/>
      <x:c r="G19" s="122"/>
      <x:c r="H19" s="122"/>
    </x:row>
    <x:row r="20">
      <x:c r="A20" s="135" t="str">
        <x:v>JE 2 — Reclass recognized revenue to forfeiture income</x:v>
      </x:c>
      <x:c r="B20" s="135"/>
      <x:c r="C20" s="135"/>
      <x:c r="D20" s="135"/>
      <x:c r="E20" s="135"/>
      <x:c r="F20" s="135"/>
      <x:c r="G20" s="135"/>
      <x:c r="H20" s="135"/>
    </x:row>
    <x:row r="21">
      <x:c r="A21" s="163" t="str">
        <x:v>Date</x:v>
      </x:c>
      <x:c r="B21" s="164" t="str">
        <x:v>Debit Account</x:v>
      </x:c>
      <x:c r="C21" s="164" t="str">
        <x:v>Debit Code</x:v>
      </x:c>
      <x:c r="D21" s="164" t="str">
        <x:v>Credit Account</x:v>
      </x:c>
      <x:c r="E21" s="164" t="str">
        <x:v>Credit Code</x:v>
      </x:c>
      <x:c r="F21" s="164" t="str">
        <x:v>Debit Amount</x:v>
      </x:c>
      <x:c r="G21" s="164" t="str">
        <x:v>Credit Amount</x:v>
      </x:c>
      <x:c r="H21" s="165" t="str">
        <x:v>Narrative</x:v>
      </x:c>
    </x:row>
    <x:row r="22">
      <x:c r="A22" s="122" t="str">
        <x:v>Forfeiture date</x:v>
      </x:c>
      <x:c r="B22" s="122" t="str">
        <x:v>Revenue - Residential Stand Sales</x:v>
      </x:c>
      <x:c r="C22" s="122" t="str">
        <x:v>401000</x:v>
      </x:c>
      <x:c r="D22" s="122" t="str">
        <x:v>Forfeited Customer Balances Income</x:v>
      </x:c>
      <x:c r="E22" s="122" t="str">
        <x:v>406000</x:v>
      </x:c>
      <x:c r="F22" s="162" t="n">
        <x:f>B8</x:f>
        <x:v>4000</x:v>
      </x:c>
      <x:c r="G22" s="162" t="n">
        <x:f>B8</x:f>
        <x:v>4000</x:v>
      </x:c>
      <x:c r="H22" s="122" t="str">
        <x:v>Sale did not complete; retained amounts are forfeiture income</x:v>
      </x:c>
    </x:row>
    <x:row r="23">
      <x:c r="A23" s="122"/>
      <x:c r="B23" s="122"/>
      <x:c r="C23" s="122"/>
      <x:c r="D23" s="122"/>
      <x:c r="E23" s="122"/>
      <x:c r="F23" s="122"/>
      <x:c r="G23" s="122"/>
      <x:c r="H23" s="122"/>
    </x:row>
    <x:row r="24">
      <x:c r="A24" s="135" t="str">
        <x:v>JE 3 — Reverse COS and reinstate inventory</x:v>
      </x:c>
      <x:c r="B24" s="135"/>
      <x:c r="C24" s="135"/>
      <x:c r="D24" s="135"/>
      <x:c r="E24" s="135"/>
      <x:c r="F24" s="135"/>
      <x:c r="G24" s="135"/>
      <x:c r="H24" s="135"/>
    </x:row>
    <x:row r="25">
      <x:c r="A25" s="163" t="str">
        <x:v>Date</x:v>
      </x:c>
      <x:c r="B25" s="164" t="str">
        <x:v>Debit Account</x:v>
      </x:c>
      <x:c r="C25" s="164" t="str">
        <x:v>Debit Code</x:v>
      </x:c>
      <x:c r="D25" s="164" t="str">
        <x:v>Credit Account</x:v>
      </x:c>
      <x:c r="E25" s="164" t="str">
        <x:v>Credit Code</x:v>
      </x:c>
      <x:c r="F25" s="164" t="str">
        <x:v>Debit Amount</x:v>
      </x:c>
      <x:c r="G25" s="164" t="str">
        <x:v>Credit Amount</x:v>
      </x:c>
      <x:c r="H25" s="165" t="str">
        <x:v>Narrative</x:v>
      </x:c>
    </x:row>
    <x:row r="26">
      <x:c r="A26" s="122" t="str">
        <x:v>Forfeiture date</x:v>
      </x:c>
      <x:c r="B26" s="122" t="str">
        <x:v>Inventory - Active Allocated Stands</x:v>
      </x:c>
      <x:c r="C26" s="122" t="str">
        <x:v>110120</x:v>
      </x:c>
      <x:c r="D26" s="122" t="str">
        <x:v>COS - Residential Stands</x:v>
      </x:c>
      <x:c r="E26" s="122" t="str">
        <x:v>501000</x:v>
      </x:c>
      <x:c r="F26" s="162" t="n">
        <x:f>B10</x:f>
        <x:v>1600</x:v>
      </x:c>
      <x:c r="G26" s="162" t="n">
        <x:f>B10</x:f>
        <x:v>1600</x:v>
      </x:c>
      <x:c r="H26" s="122" t="str">
        <x:v>Reverse COS recognized because stand is recovered</x:v>
      </x:c>
    </x:row>
    <x:row r="27">
      <x:c r="A27" s="122"/>
      <x:c r="B27" s="122"/>
      <x:c r="C27" s="122"/>
      <x:c r="D27" s="122"/>
      <x:c r="E27" s="122"/>
      <x:c r="F27" s="122"/>
      <x:c r="G27" s="122"/>
      <x:c r="H27" s="122"/>
    </x:row>
    <x:row r="28">
      <x:c r="A28" s="121" t="str">
        <x:v>VAT caution: Do not automatically reverse VAT Output already triggered/remitted unless ZIMRA allows recovery/adjustment.</x:v>
      </x:c>
      <x:c r="B28" s="121"/>
      <x:c r="C28" s="121"/>
      <x:c r="D28" s="121"/>
      <x:c r="E28" s="121"/>
      <x:c r="F28" s="121"/>
      <x:c r="G28" s="121"/>
      <x:c r="H28" s="121"/>
    </x:row>
    <x:row r="29">
      <x:c r="A29" s="121"/>
      <x:c r="B29" s="121"/>
      <x:c r="C29" s="121"/>
      <x:c r="D29" s="121"/>
      <x:c r="E29" s="121"/>
      <x:c r="F29" s="121"/>
      <x:c r="G29" s="121"/>
      <x:c r="H29" s="121"/>
    </x:row>
    <x:row r="30">
      <x:c r="A30" s="122"/>
      <x:c r="B30" s="122"/>
      <x:c r="C30" s="122"/>
      <x:c r="D30" s="122"/>
      <x:c r="E30" s="122"/>
      <x:c r="F30" s="122"/>
      <x:c r="G30" s="122"/>
      <x:c r="H30" s="122"/>
    </x:row>
    <x:row r="31">
      <x:c r="A31" s="122"/>
      <x:c r="B31" s="122"/>
      <x:c r="C31" s="122"/>
      <x:c r="D31" s="122"/>
      <x:c r="E31" s="122"/>
      <x:c r="F31" s="122"/>
      <x:c r="G31" s="122"/>
      <x:c r="H31" s="122"/>
    </x:row>
    <x:row r="32">
      <x:c r="A32" s="122"/>
      <x:c r="B32" s="122"/>
      <x:c r="C32" s="122"/>
      <x:c r="D32" s="122"/>
      <x:c r="E32" s="122"/>
      <x:c r="F32" s="122"/>
      <x:c r="G32" s="122"/>
      <x:c r="H32" s="122"/>
    </x:row>
    <x:row r="33">
      <x:c r="A33" s="122"/>
      <x:c r="B33" s="122"/>
      <x:c r="C33" s="122"/>
      <x:c r="D33" s="122"/>
      <x:c r="E33" s="122"/>
      <x:c r="F33" s="122"/>
      <x:c r="G33" s="122"/>
      <x:c r="H33" s="122"/>
    </x:row>
    <x:row r="34">
      <x:c r="A34" s="122"/>
      <x:c r="B34" s="122"/>
      <x:c r="C34" s="122"/>
      <x:c r="D34" s="122"/>
      <x:c r="E34" s="122"/>
      <x:c r="F34" s="122"/>
      <x:c r="G34" s="122"/>
      <x:c r="H34" s="122"/>
    </x:row>
    <x:row r="35">
      <x:c r="A35" s="122"/>
      <x:c r="B35" s="122"/>
      <x:c r="C35" s="122"/>
      <x:c r="D35" s="122"/>
      <x:c r="E35" s="122"/>
      <x:c r="F35" s="122"/>
      <x:c r="G35" s="122"/>
      <x:c r="H35" s="122"/>
    </x:row>
    <x:row r="36">
      <x:c r="A36" s="122"/>
      <x:c r="B36" s="122"/>
      <x:c r="C36" s="122"/>
      <x:c r="D36" s="122"/>
      <x:c r="E36" s="122"/>
      <x:c r="F36" s="122"/>
      <x:c r="G36" s="122"/>
      <x:c r="H36" s="122"/>
    </x:row>
    <x:row r="37">
      <x:c r="A37" s="122"/>
      <x:c r="B37" s="122"/>
      <x:c r="C37" s="122"/>
      <x:c r="D37" s="122"/>
      <x:c r="E37" s="122"/>
      <x:c r="F37" s="122"/>
      <x:c r="G37" s="122"/>
      <x:c r="H37" s="122"/>
    </x:row>
    <x:row r="38">
      <x:c r="A38" s="122"/>
      <x:c r="B38" s="122"/>
      <x:c r="C38" s="122"/>
      <x:c r="D38" s="122"/>
      <x:c r="E38" s="122"/>
      <x:c r="F38" s="122"/>
      <x:c r="G38" s="122"/>
      <x:c r="H38" s="122"/>
    </x:row>
    <x:row r="39">
      <x:c r="A39" s="122"/>
      <x:c r="B39" s="122"/>
      <x:c r="C39" s="122"/>
      <x:c r="D39" s="122"/>
      <x:c r="E39" s="122"/>
      <x:c r="F39" s="122"/>
      <x:c r="G39" s="122"/>
      <x:c r="H39" s="122"/>
    </x:row>
    <x:row r="40">
      <x:c r="A40" s="122"/>
      <x:c r="B40" s="122"/>
      <x:c r="C40" s="122"/>
      <x:c r="D40" s="122"/>
      <x:c r="E40" s="122"/>
      <x:c r="F40" s="122"/>
      <x:c r="G40" s="122"/>
      <x:c r="H40" s="122"/>
    </x:row>
    <x:row r="41">
      <x:c r="A41" s="122"/>
      <x:c r="B41" s="122"/>
      <x:c r="C41" s="122"/>
      <x:c r="D41" s="122"/>
      <x:c r="E41" s="122"/>
      <x:c r="F41" s="122"/>
      <x:c r="G41" s="122"/>
      <x:c r="H41" s="122"/>
    </x:row>
    <x:row r="42">
      <x:c r="A42" s="122"/>
      <x:c r="B42" s="122"/>
      <x:c r="C42" s="122"/>
      <x:c r="D42" s="122"/>
      <x:c r="E42" s="122"/>
      <x:c r="F42" s="122"/>
      <x:c r="G42" s="122"/>
      <x:c r="H42" s="122"/>
    </x:row>
    <x:row r="43">
      <x:c r="A43" s="122"/>
      <x:c r="B43" s="122"/>
      <x:c r="C43" s="122"/>
      <x:c r="D43" s="122"/>
      <x:c r="E43" s="122"/>
      <x:c r="F43" s="122"/>
      <x:c r="G43" s="122"/>
      <x:c r="H43" s="122"/>
    </x:row>
    <x:row r="44">
      <x:c r="A44" s="122"/>
      <x:c r="B44" s="122"/>
      <x:c r="C44" s="122"/>
      <x:c r="D44" s="122"/>
      <x:c r="E44" s="122"/>
      <x:c r="F44" s="122"/>
      <x:c r="G44" s="122"/>
      <x:c r="H44" s="122"/>
    </x:row>
    <x:row r="45">
      <x:c r="A45" s="122"/>
      <x:c r="B45" s="122"/>
      <x:c r="C45" s="122"/>
      <x:c r="D45" s="122"/>
      <x:c r="E45" s="122"/>
      <x:c r="F45" s="122"/>
      <x:c r="G45" s="122"/>
      <x:c r="H45" s="122"/>
    </x:row>
    <x:row r="46">
      <x:c r="A46" s="122"/>
      <x:c r="B46" s="122"/>
      <x:c r="C46" s="122"/>
      <x:c r="D46" s="122"/>
      <x:c r="E46" s="122"/>
      <x:c r="F46" s="122"/>
      <x:c r="G46" s="122"/>
      <x:c r="H46" s="122"/>
    </x:row>
    <x:row r="47">
      <x:c r="A47" s="122"/>
      <x:c r="B47" s="122"/>
      <x:c r="C47" s="122"/>
      <x:c r="D47" s="122"/>
      <x:c r="E47" s="122"/>
      <x:c r="F47" s="122"/>
      <x:c r="G47" s="122"/>
      <x:c r="H47" s="122"/>
    </x:row>
    <x:row r="48">
      <x:c r="A48" s="122"/>
      <x:c r="B48" s="122"/>
      <x:c r="C48" s="122"/>
      <x:c r="D48" s="122"/>
      <x:c r="E48" s="122"/>
      <x:c r="F48" s="122"/>
      <x:c r="G48" s="122"/>
      <x:c r="H48" s="122"/>
    </x:row>
    <x:row r="49">
      <x:c r="A49" s="122"/>
      <x:c r="B49" s="122"/>
      <x:c r="C49" s="122"/>
      <x:c r="D49" s="122"/>
      <x:c r="E49" s="122"/>
      <x:c r="F49" s="122"/>
      <x:c r="G49" s="122"/>
      <x:c r="H49" s="122"/>
    </x:row>
    <x:row r="50">
      <x:c r="A50" s="122"/>
      <x:c r="B50" s="122"/>
      <x:c r="C50" s="122"/>
      <x:c r="D50" s="122"/>
      <x:c r="E50" s="122"/>
      <x:c r="F50" s="122"/>
      <x:c r="G50" s="122"/>
      <x:c r="H50" s="122"/>
    </x:row>
    <x:row r="51">
      <x:c r="A51" s="122"/>
      <x:c r="B51" s="122"/>
      <x:c r="C51" s="122"/>
      <x:c r="D51" s="122"/>
      <x:c r="E51" s="122"/>
      <x:c r="F51" s="122"/>
      <x:c r="G51" s="122"/>
      <x:c r="H51" s="122"/>
    </x:row>
    <x:row r="52">
      <x:c r="A52" s="122"/>
      <x:c r="B52" s="122"/>
      <x:c r="C52" s="122"/>
      <x:c r="D52" s="122"/>
      <x:c r="E52" s="122"/>
      <x:c r="F52" s="122"/>
      <x:c r="G52" s="122"/>
      <x:c r="H52" s="122"/>
    </x:row>
    <x:row r="53">
      <x:c r="A53" s="122"/>
      <x:c r="B53" s="122"/>
      <x:c r="C53" s="122"/>
      <x:c r="D53" s="122"/>
      <x:c r="E53" s="122"/>
      <x:c r="F53" s="122"/>
      <x:c r="G53" s="122"/>
      <x:c r="H53" s="122"/>
    </x:row>
    <x:row r="54">
      <x:c r="A54" s="122"/>
      <x:c r="B54" s="122"/>
      <x:c r="C54" s="122"/>
      <x:c r="D54" s="122"/>
      <x:c r="E54" s="122"/>
      <x:c r="F54" s="122"/>
      <x:c r="G54" s="122"/>
      <x:c r="H54" s="122"/>
    </x:row>
    <x:row r="55">
      <x:c r="A55" s="122"/>
      <x:c r="B55" s="122"/>
      <x:c r="C55" s="122"/>
      <x:c r="D55" s="122"/>
      <x:c r="E55" s="122"/>
      <x:c r="F55" s="122"/>
      <x:c r="G55" s="122"/>
      <x:c r="H55" s="122"/>
    </x:row>
    <x:row r="56">
      <x:c r="A56" s="122"/>
      <x:c r="B56" s="122"/>
      <x:c r="C56" s="122"/>
      <x:c r="D56" s="122"/>
      <x:c r="E56" s="122"/>
      <x:c r="F56" s="122"/>
      <x:c r="G56" s="122"/>
      <x:c r="H56" s="122"/>
    </x:row>
    <x:row r="57">
      <x:c r="A57" s="122"/>
      <x:c r="B57" s="122"/>
      <x:c r="C57" s="122"/>
      <x:c r="D57" s="122"/>
      <x:c r="E57" s="122"/>
      <x:c r="F57" s="122"/>
      <x:c r="G57" s="122"/>
      <x:c r="H57" s="122"/>
    </x:row>
    <x:row r="58">
      <x:c r="A58" s="122"/>
      <x:c r="B58" s="122"/>
      <x:c r="C58" s="122"/>
      <x:c r="D58" s="122"/>
      <x:c r="E58" s="122"/>
      <x:c r="F58" s="122"/>
      <x:c r="G58" s="122"/>
      <x:c r="H58" s="122"/>
    </x:row>
    <x:row r="59">
      <x:c r="A59" s="122"/>
      <x:c r="B59" s="122"/>
      <x:c r="C59" s="122"/>
      <x:c r="D59" s="122"/>
      <x:c r="E59" s="122"/>
      <x:c r="F59" s="122"/>
      <x:c r="G59" s="122"/>
      <x:c r="H59" s="122"/>
    </x:row>
    <x:row r="60">
      <x:c r="A60" s="122"/>
      <x:c r="B60" s="122"/>
      <x:c r="C60" s="122"/>
      <x:c r="D60" s="122"/>
      <x:c r="E60" s="122"/>
      <x:c r="F60" s="122"/>
      <x:c r="G60" s="122"/>
      <x:c r="H60" s="122"/>
    </x:row>
    <x:row r="61">
      <x:c r="A61" s="122"/>
      <x:c r="B61" s="122"/>
      <x:c r="C61" s="122"/>
      <x:c r="D61" s="122"/>
      <x:c r="E61" s="122"/>
      <x:c r="F61" s="122"/>
      <x:c r="G61" s="122"/>
      <x:c r="H61" s="122"/>
    </x:row>
    <x:row r="62">
      <x:c r="A62" s="122"/>
      <x:c r="B62" s="122"/>
      <x:c r="C62" s="122"/>
      <x:c r="D62" s="122"/>
      <x:c r="E62" s="122"/>
      <x:c r="F62" s="122"/>
      <x:c r="G62" s="122"/>
      <x:c r="H62" s="122"/>
    </x:row>
    <x:row r="63">
      <x:c r="A63" s="122"/>
      <x:c r="B63" s="122"/>
      <x:c r="C63" s="122"/>
      <x:c r="D63" s="122"/>
      <x:c r="E63" s="122"/>
      <x:c r="F63" s="122"/>
      <x:c r="G63" s="122"/>
      <x:c r="H63" s="122"/>
    </x:row>
    <x:row r="64">
      <x:c r="A64" s="122"/>
      <x:c r="B64" s="122"/>
      <x:c r="C64" s="122"/>
      <x:c r="D64" s="122"/>
      <x:c r="E64" s="122"/>
      <x:c r="F64" s="122"/>
      <x:c r="G64" s="122"/>
      <x:c r="H64" s="122"/>
    </x:row>
    <x:row r="65">
      <x:c r="A65" s="122"/>
      <x:c r="B65" s="122"/>
      <x:c r="C65" s="122"/>
      <x:c r="D65" s="122"/>
      <x:c r="E65" s="122"/>
      <x:c r="F65" s="122"/>
      <x:c r="G65" s="122"/>
      <x:c r="H65" s="122"/>
    </x:row>
    <x:row r="66">
      <x:c r="A66" s="122"/>
      <x:c r="B66" s="122"/>
      <x:c r="C66" s="122"/>
      <x:c r="D66" s="122"/>
      <x:c r="E66" s="122"/>
      <x:c r="F66" s="122"/>
      <x:c r="G66" s="122"/>
      <x:c r="H66" s="122"/>
    </x:row>
    <x:row r="67">
      <x:c r="A67" s="122"/>
      <x:c r="B67" s="122"/>
      <x:c r="C67" s="122"/>
      <x:c r="D67" s="122"/>
      <x:c r="E67" s="122"/>
      <x:c r="F67" s="122"/>
      <x:c r="G67" s="122"/>
      <x:c r="H67" s="122"/>
    </x:row>
    <x:row r="68">
      <x:c r="A68" s="122"/>
      <x:c r="B68" s="122"/>
      <x:c r="C68" s="122"/>
      <x:c r="D68" s="122"/>
      <x:c r="E68" s="122"/>
      <x:c r="F68" s="122"/>
      <x:c r="G68" s="122"/>
      <x:c r="H68" s="122"/>
    </x:row>
    <x:row r="69">
      <x:c r="A69" s="122"/>
      <x:c r="B69" s="122"/>
      <x:c r="C69" s="122"/>
      <x:c r="D69" s="122"/>
      <x:c r="E69" s="122"/>
      <x:c r="F69" s="122"/>
      <x:c r="G69" s="122"/>
      <x:c r="H69" s="122"/>
    </x:row>
    <x:row r="70">
      <x:c r="A70" s="122"/>
      <x:c r="B70" s="122"/>
      <x:c r="C70" s="122"/>
      <x:c r="D70" s="122"/>
      <x:c r="E70" s="122"/>
      <x:c r="F70" s="122"/>
      <x:c r="G70" s="122"/>
      <x:c r="H70" s="122"/>
    </x:row>
    <x:row r="71">
      <x:c r="A71" s="122"/>
      <x:c r="B71" s="122"/>
      <x:c r="C71" s="122"/>
      <x:c r="D71" s="122"/>
      <x:c r="E71" s="122"/>
      <x:c r="F71" s="122"/>
      <x:c r="G71" s="122"/>
      <x:c r="H71" s="122"/>
    </x:row>
    <x:row r="72">
      <x:c r="A72" s="122"/>
      <x:c r="B72" s="122"/>
      <x:c r="C72" s="122"/>
      <x:c r="D72" s="122"/>
      <x:c r="E72" s="122"/>
      <x:c r="F72" s="122"/>
      <x:c r="G72" s="122"/>
      <x:c r="H72" s="122"/>
    </x:row>
    <x:row r="73">
      <x:c r="A73" s="122"/>
      <x:c r="B73" s="122"/>
      <x:c r="C73" s="122"/>
      <x:c r="D73" s="122"/>
      <x:c r="E73" s="122"/>
      <x:c r="F73" s="122"/>
      <x:c r="G73" s="122"/>
      <x:c r="H73" s="122"/>
    </x:row>
    <x:row r="74">
      <x:c r="A74" s="122"/>
      <x:c r="B74" s="122"/>
      <x:c r="C74" s="122"/>
      <x:c r="D74" s="122"/>
      <x:c r="E74" s="122"/>
      <x:c r="F74" s="122"/>
      <x:c r="G74" s="122"/>
      <x:c r="H74" s="122"/>
    </x:row>
    <x:row r="75">
      <x:c r="A75" s="122"/>
      <x:c r="B75" s="122"/>
      <x:c r="C75" s="122"/>
      <x:c r="D75" s="122"/>
      <x:c r="E75" s="122"/>
      <x:c r="F75" s="122"/>
      <x:c r="G75" s="122"/>
      <x:c r="H75" s="122"/>
    </x:row>
    <x:row r="76">
      <x:c r="A76" s="122"/>
      <x:c r="B76" s="122"/>
      <x:c r="C76" s="122"/>
      <x:c r="D76" s="122"/>
      <x:c r="E76" s="122"/>
      <x:c r="F76" s="122"/>
      <x:c r="G76" s="122"/>
      <x:c r="H76" s="122"/>
    </x:row>
    <x:row r="77">
      <x:c r="A77" s="122"/>
      <x:c r="B77" s="122"/>
      <x:c r="C77" s="122"/>
      <x:c r="D77" s="122"/>
      <x:c r="E77" s="122"/>
      <x:c r="F77" s="122"/>
      <x:c r="G77" s="122"/>
      <x:c r="H77" s="122"/>
    </x:row>
    <x:row r="78">
      <x:c r="A78" s="122"/>
      <x:c r="B78" s="122"/>
      <x:c r="C78" s="122"/>
      <x:c r="D78" s="122"/>
      <x:c r="E78" s="122"/>
      <x:c r="F78" s="122"/>
      <x:c r="G78" s="122"/>
      <x:c r="H78" s="122"/>
    </x:row>
    <x:row r="79">
      <x:c r="A79" s="122"/>
      <x:c r="B79" s="122"/>
      <x:c r="C79" s="122"/>
      <x:c r="D79" s="122"/>
      <x:c r="E79" s="122"/>
      <x:c r="F79" s="122"/>
      <x:c r="G79" s="122"/>
      <x:c r="H79" s="122"/>
    </x:row>
    <x:row r="80">
      <x:c r="A80" s="122"/>
      <x:c r="B80" s="122"/>
      <x:c r="C80" s="122"/>
      <x:c r="D80" s="122"/>
      <x:c r="E80" s="122"/>
      <x:c r="F80" s="122"/>
      <x:c r="G80" s="122"/>
      <x:c r="H80" s="122"/>
    </x:row>
  </x:sheetData>
  <x:mergeCells>
    <x:mergeCell ref="A1:H1"/>
    <x:mergeCell ref="A2:H3"/>
    <x:mergeCell ref="A5:D5"/>
    <x:mergeCell ref="A15:H15"/>
    <x:mergeCell ref="A20:H20"/>
    <x:mergeCell ref="A24:H24"/>
    <x:mergeCell ref="A28:H29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14" hidden="0" customWidth="1"/>
    <x:col min="4" max="4" width="38" hidden="0" customWidth="1"/>
    <x:col min="5" max="5" width="14" hidden="0" customWidth="1"/>
    <x:col min="6" max="6" width="14" hidden="0" customWidth="1"/>
    <x:col min="7" max="7" width="48" hidden="0" customWidth="1"/>
    <x:col min="8" max="8" width="26" hidden="0" customWidth="1"/>
  </x:cols>
  <x:sheetData>
    <x:row r="1" ht="28" customHeight="1">
      <x:c r="A1" s="6" t="str">
        <x:v>Step 11 — Cancellation / Refund</x:v>
      </x:c>
      <x:c r="B1" s="6"/>
      <x:c r="C1" s="6"/>
      <x:c r="D1" s="6"/>
      <x:c r="E1" s="6"/>
      <x:c r="F1" s="6"/>
      <x:c r="G1" s="6"/>
      <x:c r="H1" s="6"/>
    </x:row>
    <x:row r="2" ht="44" customHeight="1">
      <x:c r="A2" s="121" t="str">
        <x:v>Template for voluntary cancellation/refund. Refund calculation and VAT recovery require management/legal/ZIMRA policy. Example assumes refund is gross paid less 10% admin fee.</x:v>
      </x:c>
      <x:c r="B2" s="121"/>
      <x:c r="C2" s="121"/>
      <x:c r="D2" s="121"/>
      <x:c r="E2" s="121"/>
      <x:c r="F2" s="121"/>
      <x:c r="G2" s="121"/>
      <x:c r="H2" s="121"/>
    </x:row>
    <x:row r="3" ht="44" customHeight="1">
      <x:c r="A3" s="121"/>
      <x:c r="B3" s="121"/>
      <x:c r="C3" s="121"/>
      <x:c r="D3" s="121"/>
      <x:c r="E3" s="121"/>
      <x:c r="F3" s="121"/>
      <x:c r="G3" s="121"/>
      <x:c r="H3" s="121"/>
    </x:row>
    <x:row r="4">
      <x:c r="A4" s="122"/>
      <x:c r="B4" s="122"/>
      <x:c r="C4" s="122"/>
      <x:c r="D4" s="122"/>
      <x:c r="E4" s="122"/>
      <x:c r="F4" s="122"/>
      <x:c r="G4" s="122"/>
      <x:c r="H4" s="122"/>
    </x:row>
    <x:row r="5">
      <x:c r="A5" s="135" t="str">
        <x:v>Cancellation/refund inputs — deposit + 2 monthly instalments paid</x:v>
      </x:c>
      <x:c r="B5" s="135"/>
      <x:c r="C5" s="135"/>
      <x:c r="D5" s="135"/>
      <x:c r="E5" s="122"/>
      <x:c r="F5" s="122"/>
      <x:c r="G5" s="122"/>
      <x:c r="H5" s="122"/>
    </x:row>
    <x:row r="6">
      <x:c r="A6" s="123" t="str">
        <x:v>Item</x:v>
      </x:c>
      <x:c r="B6" s="124" t="str">
        <x:v>Value</x:v>
      </x:c>
      <x:c r="C6" s="124" t="str">
        <x:v>Formula / Basis</x:v>
      </x:c>
      <x:c r="D6" s="125" t="str">
        <x:v>Comment</x:v>
      </x:c>
      <x:c r="E6" s="122"/>
      <x:c r="F6" s="122"/>
      <x:c r="G6" s="122"/>
      <x:c r="H6" s="122"/>
    </x:row>
    <x:row r="7">
      <x:c r="A7" s="126" t="str">
        <x:v>Gross paid to date</x:v>
      </x:c>
      <x:c r="B7" s="127" t="n">
        <x:f>'01 Assumptions'!B12+2*'01 Assumptions'!B15</x:f>
        <x:v>4620</x:v>
      </x:c>
      <x:c r="C7" s="128" t="str">
        <x:v>Deposit gross + 2 monthly gross</x:v>
      </x:c>
      <x:c r="D7" s="129" t="str">
        <x:v>Illustrative</x:v>
      </x:c>
      <x:c r="E7" s="122"/>
      <x:c r="F7" s="122"/>
      <x:c r="G7" s="122"/>
      <x:c r="H7" s="122"/>
    </x:row>
    <x:row r="8">
      <x:c r="A8" s="126" t="str">
        <x:v>Admin fee %</x:v>
      </x:c>
      <x:c r="B8" s="127" t="n">
        <x:v>0.1</x:v>
      </x:c>
      <x:c r="C8" s="128" t="str">
        <x:v>Policy/offer form</x:v>
      </x:c>
      <x:c r="D8" s="129" t="str">
        <x:v>Illustrative</x:v>
      </x:c>
      <x:c r="E8" s="122"/>
      <x:c r="F8" s="122"/>
      <x:c r="G8" s="122"/>
      <x:c r="H8" s="122"/>
    </x:row>
    <x:row r="9">
      <x:c r="A9" s="126" t="str">
        <x:v>Admin fee retained</x:v>
      </x:c>
      <x:c r="B9" s="127" t="n">
        <x:f>B7*B8</x:f>
        <x:v>462</x:v>
      </x:c>
      <x:c r="C9" s="128" t="str">
        <x:v>Gross paid × admin fee %</x:v>
      </x:c>
      <x:c r="D9" s="129" t="str">
        <x:v>Confirm VAT treatment</x:v>
      </x:c>
      <x:c r="E9" s="122"/>
      <x:c r="F9" s="122"/>
      <x:c r="G9" s="122"/>
      <x:c r="H9" s="122"/>
    </x:row>
    <x:row r="10">
      <x:c r="A10" s="126" t="str">
        <x:v>Refund payable</x:v>
      </x:c>
      <x:c r="B10" s="127" t="n">
        <x:f>B7-B9</x:f>
        <x:v>4158</x:v>
      </x:c>
      <x:c r="C10" s="128" t="str">
        <x:v>Gross paid - admin fee</x:v>
      </x:c>
      <x:c r="D10" s="129" t="str">
        <x:v>Gross refund payable</x:v>
      </x:c>
      <x:c r="E10" s="122"/>
      <x:c r="F10" s="122"/>
      <x:c r="G10" s="122"/>
      <x:c r="H10" s="122"/>
    </x:row>
    <x:row r="11">
      <x:c r="A11" s="131" t="str">
        <x:v>Net revenue recognized to date</x:v>
      </x:c>
      <x:c r="B11" s="132" t="n">
        <x:f>'01 Assumptions'!B10+2*'01 Assumptions'!B13</x:f>
        <x:v>4000</x:v>
      </x:c>
      <x:c r="C11" s="133" t="str">
        <x:v>Deposit net + 2 monthly net</x:v>
      </x:c>
      <x:c r="D11" s="134" t="str">
        <x:v>To reverse/reclass</x:v>
      </x:c>
      <x:c r="E11" s="122"/>
      <x:c r="F11" s="122"/>
      <x:c r="G11" s="122"/>
      <x:c r="H11" s="122"/>
    </x:row>
    <x:row r="12">
      <x:c r="A12" s="122" t="str">
        <x:v>COS recognized to date</x:v>
      </x:c>
      <x:c r="B12" s="162" t="n">
        <x:f>'01 Assumptions'!B18+2*'01 Assumptions'!B19</x:f>
        <x:v>1600</x:v>
      </x:c>
      <x:c r="C12" s="122" t="str">
        <x:v>Deposit COS + 2 monthly COS</x:v>
      </x:c>
      <x:c r="D12" s="122" t="str">
        <x:v>To reverse</x:v>
      </x:c>
      <x:c r="E12" s="122"/>
      <x:c r="F12" s="122"/>
      <x:c r="G12" s="122"/>
      <x:c r="H12" s="122"/>
    </x:row>
    <x:row r="13">
      <x:c r="A13" s="122"/>
      <x:c r="B13" s="122"/>
      <x:c r="C13" s="122"/>
      <x:c r="D13" s="122"/>
      <x:c r="E13" s="122"/>
      <x:c r="F13" s="122"/>
      <x:c r="G13" s="122"/>
      <x:c r="H13" s="122"/>
    </x:row>
    <x:row r="14">
      <x:c r="A14" s="135" t="str">
        <x:v>JE 1 — Reverse recognized stand sale revenue to cancellation clearing</x:v>
      </x:c>
      <x:c r="B14" s="135"/>
      <x:c r="C14" s="135"/>
      <x:c r="D14" s="135"/>
      <x:c r="E14" s="135"/>
      <x:c r="F14" s="135"/>
      <x:c r="G14" s="135"/>
      <x:c r="H14" s="135"/>
    </x:row>
    <x:row r="15">
      <x:c r="A15" s="163" t="str">
        <x:v>Date</x:v>
      </x:c>
      <x:c r="B15" s="164" t="str">
        <x:v>Debit Account</x:v>
      </x:c>
      <x:c r="C15" s="164" t="str">
        <x:v>Debit Code</x:v>
      </x:c>
      <x:c r="D15" s="164" t="str">
        <x:v>Credit Account</x:v>
      </x:c>
      <x:c r="E15" s="164" t="str">
        <x:v>Credit Code</x:v>
      </x:c>
      <x:c r="F15" s="164" t="str">
        <x:v>Debit Amount</x:v>
      </x:c>
      <x:c r="G15" s="164" t="str">
        <x:v>Credit Amount</x:v>
      </x:c>
      <x:c r="H15" s="165" t="str">
        <x:v>Narrative</x:v>
      </x:c>
    </x:row>
    <x:row r="16">
      <x:c r="A16" s="122" t="str">
        <x:v>Cancellation date</x:v>
      </x:c>
      <x:c r="B16" s="122" t="str">
        <x:v>Revenue - Residential Stand Sales</x:v>
      </x:c>
      <x:c r="C16" s="122" t="str">
        <x:v>401000</x:v>
      </x:c>
      <x:c r="D16" s="122" t="str">
        <x:v>Customer Refunds / Cancellation Clearing</x:v>
      </x:c>
      <x:c r="E16" s="122" t="str">
        <x:v>[create/use if required]</x:v>
      </x:c>
      <x:c r="F16" s="162" t="n">
        <x:f>B11</x:f>
        <x:v>4000</x:v>
      </x:c>
      <x:c r="G16" s="162" t="n">
        <x:f>B11</x:f>
        <x:v>4000</x:v>
      </x:c>
      <x:c r="H16" s="122" t="str">
        <x:v>Reverse stand sale revenue because sale is cancelled</x:v>
      </x:c>
    </x:row>
    <x:row r="17">
      <x:c r="A17" s="122"/>
      <x:c r="B17" s="122"/>
      <x:c r="C17" s="122"/>
      <x:c r="D17" s="122"/>
      <x:c r="E17" s="122"/>
      <x:c r="F17" s="122"/>
      <x:c r="G17" s="122"/>
      <x:c r="H17" s="122"/>
    </x:row>
    <x:row r="18">
      <x:c r="A18" s="135" t="str">
        <x:v>JE 2 — Reverse COS and reinstate inventory</x:v>
      </x:c>
      <x:c r="B18" s="135"/>
      <x:c r="C18" s="135"/>
      <x:c r="D18" s="135"/>
      <x:c r="E18" s="135"/>
      <x:c r="F18" s="135"/>
      <x:c r="G18" s="135"/>
      <x:c r="H18" s="135"/>
    </x:row>
    <x:row r="19">
      <x:c r="A19" s="163" t="str">
        <x:v>Date</x:v>
      </x:c>
      <x:c r="B19" s="164" t="str">
        <x:v>Debit Account</x:v>
      </x:c>
      <x:c r="C19" s="164" t="str">
        <x:v>Debit Code</x:v>
      </x:c>
      <x:c r="D19" s="164" t="str">
        <x:v>Credit Account</x:v>
      </x:c>
      <x:c r="E19" s="164" t="str">
        <x:v>Credit Code</x:v>
      </x:c>
      <x:c r="F19" s="164" t="str">
        <x:v>Debit Amount</x:v>
      </x:c>
      <x:c r="G19" s="164" t="str">
        <x:v>Credit Amount</x:v>
      </x:c>
      <x:c r="H19" s="165" t="str">
        <x:v>Narrative</x:v>
      </x:c>
    </x:row>
    <x:row r="20">
      <x:c r="A20" s="122" t="str">
        <x:v>Cancellation date</x:v>
      </x:c>
      <x:c r="B20" s="122" t="str">
        <x:v>Inventory - Active Allocated Stands</x:v>
      </x:c>
      <x:c r="C20" s="122" t="str">
        <x:v>110120</x:v>
      </x:c>
      <x:c r="D20" s="122" t="str">
        <x:v>COS - Residential Stands</x:v>
      </x:c>
      <x:c r="E20" s="122" t="str">
        <x:v>501000</x:v>
      </x:c>
      <x:c r="F20" s="162" t="n">
        <x:f>B12</x:f>
        <x:v>1600</x:v>
      </x:c>
      <x:c r="G20" s="162" t="n">
        <x:f>B12</x:f>
        <x:v>1600</x:v>
      </x:c>
      <x:c r="H20" s="122" t="str">
        <x:v>Restore cost of stand to inventory</x:v>
      </x:c>
    </x:row>
    <x:row r="21">
      <x:c r="A21" s="122"/>
      <x:c r="B21" s="122"/>
      <x:c r="C21" s="122"/>
      <x:c r="D21" s="122"/>
      <x:c r="E21" s="122"/>
      <x:c r="F21" s="122"/>
      <x:c r="G21" s="122"/>
      <x:c r="H21" s="122"/>
    </x:row>
    <x:row r="22">
      <x:c r="A22" s="135" t="str">
        <x:v>JE 3 — Recognize admin fee and refund payable</x:v>
      </x:c>
      <x:c r="B22" s="135"/>
      <x:c r="C22" s="135"/>
      <x:c r="D22" s="135"/>
      <x:c r="E22" s="135"/>
      <x:c r="F22" s="135"/>
      <x:c r="G22" s="135"/>
      <x:c r="H22" s="135"/>
    </x:row>
    <x:row r="23">
      <x:c r="A23" s="123" t="str">
        <x:v>Date</x:v>
      </x:c>
      <x:c r="B23" s="124" t="str">
        <x:v>Debit Account</x:v>
      </x:c>
      <x:c r="C23" s="124" t="str">
        <x:v>Debit Code</x:v>
      </x:c>
      <x:c r="D23" s="124" t="str">
        <x:v>Credit Account</x:v>
      </x:c>
      <x:c r="E23" s="124" t="str">
        <x:v>Credit Code</x:v>
      </x:c>
      <x:c r="F23" s="124" t="str">
        <x:v>Debit Amount</x:v>
      </x:c>
      <x:c r="G23" s="124" t="str">
        <x:v>Credit Amount</x:v>
      </x:c>
      <x:c r="H23" s="125" t="str">
        <x:v>Narrative</x:v>
      </x:c>
    </x:row>
    <x:row r="24">
      <x:c r="A24" s="131" t="str">
        <x:v>Cancellation date</x:v>
      </x:c>
      <x:c r="B24" s="133" t="str">
        <x:v>Customer Refunds / Cancellation Clearing</x:v>
      </x:c>
      <x:c r="C24" s="133" t="str">
        <x:v>[create/use if required]</x:v>
      </x:c>
      <x:c r="D24" s="133" t="str">
        <x:v>Administration Fee Income</x:v>
      </x:c>
      <x:c r="E24" s="133" t="str">
        <x:v>405000</x:v>
      </x:c>
      <x:c r="F24" s="132" t="n">
        <x:f>B9</x:f>
        <x:v>462</x:v>
      </x:c>
      <x:c r="G24" s="132" t="n">
        <x:f>B9</x:f>
        <x:v>462</x:v>
      </x:c>
      <x:c r="H24" s="134" t="str">
        <x:v>Admin fee retained</x:v>
      </x:c>
    </x:row>
    <x:row r="25">
      <x:c r="A25" s="122" t="str">
        <x:v>Cancellation date</x:v>
      </x:c>
      <x:c r="B25" s="122" t="str">
        <x:v>Customer Refunds / Cancellation Clearing</x:v>
      </x:c>
      <x:c r="C25" s="122" t="str">
        <x:v>[create/use if required]</x:v>
      </x:c>
      <x:c r="D25" s="122" t="str">
        <x:v>Customer Refunds Payable</x:v>
      </x:c>
      <x:c r="E25" s="122" t="str">
        <x:v>[create/use if required]</x:v>
      </x:c>
      <x:c r="F25" s="162" t="n">
        <x:f>B10</x:f>
        <x:v>4158</x:v>
      </x:c>
      <x:c r="G25" s="162" t="n">
        <x:f>B10</x:f>
        <x:v>4158</x:v>
      </x:c>
      <x:c r="H25" s="122" t="str">
        <x:v>Refund liability to customer</x:v>
      </x:c>
    </x:row>
    <x:row r="26">
      <x:c r="A26" s="122"/>
      <x:c r="B26" s="122"/>
      <x:c r="C26" s="122"/>
      <x:c r="D26" s="122"/>
      <x:c r="E26" s="122"/>
      <x:c r="F26" s="122"/>
      <x:c r="G26" s="122"/>
      <x:c r="H26" s="122"/>
    </x:row>
    <x:row r="27">
      <x:c r="A27" s="121" t="str">
        <x:v>Potential accounts to add if refunds are frequent: Customer Refunds Payable and Cancellation Clearing.</x:v>
      </x:c>
      <x:c r="B27" s="121"/>
      <x:c r="C27" s="121"/>
      <x:c r="D27" s="121"/>
      <x:c r="E27" s="121"/>
      <x:c r="F27" s="121"/>
      <x:c r="G27" s="121"/>
      <x:c r="H27" s="121"/>
    </x:row>
    <x:row r="28">
      <x:c r="A28" s="121"/>
      <x:c r="B28" s="121"/>
      <x:c r="C28" s="121"/>
      <x:c r="D28" s="121"/>
      <x:c r="E28" s="121"/>
      <x:c r="F28" s="121"/>
      <x:c r="G28" s="121"/>
      <x:c r="H28" s="121"/>
    </x:row>
    <x:row r="29">
      <x:c r="A29" s="122"/>
      <x:c r="B29" s="122"/>
      <x:c r="C29" s="122"/>
      <x:c r="D29" s="122"/>
      <x:c r="E29" s="122"/>
      <x:c r="F29" s="122"/>
      <x:c r="G29" s="122"/>
      <x:c r="H29" s="122"/>
    </x:row>
    <x:row r="30">
      <x:c r="A30" s="122"/>
      <x:c r="B30" s="122"/>
      <x:c r="C30" s="122"/>
      <x:c r="D30" s="122"/>
      <x:c r="E30" s="122"/>
      <x:c r="F30" s="122"/>
      <x:c r="G30" s="122"/>
      <x:c r="H30" s="122"/>
    </x:row>
    <x:row r="31">
      <x:c r="A31" s="122"/>
      <x:c r="B31" s="122"/>
      <x:c r="C31" s="122"/>
      <x:c r="D31" s="122"/>
      <x:c r="E31" s="122"/>
      <x:c r="F31" s="122"/>
      <x:c r="G31" s="122"/>
      <x:c r="H31" s="122"/>
    </x:row>
    <x:row r="32">
      <x:c r="A32" s="122"/>
      <x:c r="B32" s="122"/>
      <x:c r="C32" s="122"/>
      <x:c r="D32" s="122"/>
      <x:c r="E32" s="122"/>
      <x:c r="F32" s="122"/>
      <x:c r="G32" s="122"/>
      <x:c r="H32" s="122"/>
    </x:row>
    <x:row r="33">
      <x:c r="A33" s="122"/>
      <x:c r="B33" s="122"/>
      <x:c r="C33" s="122"/>
      <x:c r="D33" s="122"/>
      <x:c r="E33" s="122"/>
      <x:c r="F33" s="122"/>
      <x:c r="G33" s="122"/>
      <x:c r="H33" s="122"/>
    </x:row>
    <x:row r="34">
      <x:c r="A34" s="122"/>
      <x:c r="B34" s="122"/>
      <x:c r="C34" s="122"/>
      <x:c r="D34" s="122"/>
      <x:c r="E34" s="122"/>
      <x:c r="F34" s="122"/>
      <x:c r="G34" s="122"/>
      <x:c r="H34" s="122"/>
    </x:row>
    <x:row r="35">
      <x:c r="A35" s="122"/>
      <x:c r="B35" s="122"/>
      <x:c r="C35" s="122"/>
      <x:c r="D35" s="122"/>
      <x:c r="E35" s="122"/>
      <x:c r="F35" s="122"/>
      <x:c r="G35" s="122"/>
      <x:c r="H35" s="122"/>
    </x:row>
    <x:row r="36">
      <x:c r="A36" s="122"/>
      <x:c r="B36" s="122"/>
      <x:c r="C36" s="122"/>
      <x:c r="D36" s="122"/>
      <x:c r="E36" s="122"/>
      <x:c r="F36" s="122"/>
      <x:c r="G36" s="122"/>
      <x:c r="H36" s="122"/>
    </x:row>
    <x:row r="37">
      <x:c r="A37" s="122"/>
      <x:c r="B37" s="122"/>
      <x:c r="C37" s="122"/>
      <x:c r="D37" s="122"/>
      <x:c r="E37" s="122"/>
      <x:c r="F37" s="122"/>
      <x:c r="G37" s="122"/>
      <x:c r="H37" s="122"/>
    </x:row>
    <x:row r="38">
      <x:c r="A38" s="122"/>
      <x:c r="B38" s="122"/>
      <x:c r="C38" s="122"/>
      <x:c r="D38" s="122"/>
      <x:c r="E38" s="122"/>
      <x:c r="F38" s="122"/>
      <x:c r="G38" s="122"/>
      <x:c r="H38" s="122"/>
    </x:row>
    <x:row r="39">
      <x:c r="A39" s="122"/>
      <x:c r="B39" s="122"/>
      <x:c r="C39" s="122"/>
      <x:c r="D39" s="122"/>
      <x:c r="E39" s="122"/>
      <x:c r="F39" s="122"/>
      <x:c r="G39" s="122"/>
      <x:c r="H39" s="122"/>
    </x:row>
    <x:row r="40">
      <x:c r="A40" s="122"/>
      <x:c r="B40" s="122"/>
      <x:c r="C40" s="122"/>
      <x:c r="D40" s="122"/>
      <x:c r="E40" s="122"/>
      <x:c r="F40" s="122"/>
      <x:c r="G40" s="122"/>
      <x:c r="H40" s="122"/>
    </x:row>
    <x:row r="41">
      <x:c r="A41" s="122"/>
      <x:c r="B41" s="122"/>
      <x:c r="C41" s="122"/>
      <x:c r="D41" s="122"/>
      <x:c r="E41" s="122"/>
      <x:c r="F41" s="122"/>
      <x:c r="G41" s="122"/>
      <x:c r="H41" s="122"/>
    </x:row>
    <x:row r="42">
      <x:c r="A42" s="122"/>
      <x:c r="B42" s="122"/>
      <x:c r="C42" s="122"/>
      <x:c r="D42" s="122"/>
      <x:c r="E42" s="122"/>
      <x:c r="F42" s="122"/>
      <x:c r="G42" s="122"/>
      <x:c r="H42" s="122"/>
    </x:row>
    <x:row r="43">
      <x:c r="A43" s="122"/>
      <x:c r="B43" s="122"/>
      <x:c r="C43" s="122"/>
      <x:c r="D43" s="122"/>
      <x:c r="E43" s="122"/>
      <x:c r="F43" s="122"/>
      <x:c r="G43" s="122"/>
      <x:c r="H43" s="122"/>
    </x:row>
    <x:row r="44">
      <x:c r="A44" s="122"/>
      <x:c r="B44" s="122"/>
      <x:c r="C44" s="122"/>
      <x:c r="D44" s="122"/>
      <x:c r="E44" s="122"/>
      <x:c r="F44" s="122"/>
      <x:c r="G44" s="122"/>
      <x:c r="H44" s="122"/>
    </x:row>
    <x:row r="45">
      <x:c r="A45" s="122"/>
      <x:c r="B45" s="122"/>
      <x:c r="C45" s="122"/>
      <x:c r="D45" s="122"/>
      <x:c r="E45" s="122"/>
      <x:c r="F45" s="122"/>
      <x:c r="G45" s="122"/>
      <x:c r="H45" s="122"/>
    </x:row>
    <x:row r="46">
      <x:c r="A46" s="122"/>
      <x:c r="B46" s="122"/>
      <x:c r="C46" s="122"/>
      <x:c r="D46" s="122"/>
      <x:c r="E46" s="122"/>
      <x:c r="F46" s="122"/>
      <x:c r="G46" s="122"/>
      <x:c r="H46" s="122"/>
    </x:row>
    <x:row r="47">
      <x:c r="A47" s="122"/>
      <x:c r="B47" s="122"/>
      <x:c r="C47" s="122"/>
      <x:c r="D47" s="122"/>
      <x:c r="E47" s="122"/>
      <x:c r="F47" s="122"/>
      <x:c r="G47" s="122"/>
      <x:c r="H47" s="122"/>
    </x:row>
    <x:row r="48">
      <x:c r="A48" s="122"/>
      <x:c r="B48" s="122"/>
      <x:c r="C48" s="122"/>
      <x:c r="D48" s="122"/>
      <x:c r="E48" s="122"/>
      <x:c r="F48" s="122"/>
      <x:c r="G48" s="122"/>
      <x:c r="H48" s="122"/>
    </x:row>
    <x:row r="49">
      <x:c r="A49" s="122"/>
      <x:c r="B49" s="122"/>
      <x:c r="C49" s="122"/>
      <x:c r="D49" s="122"/>
      <x:c r="E49" s="122"/>
      <x:c r="F49" s="122"/>
      <x:c r="G49" s="122"/>
      <x:c r="H49" s="122"/>
    </x:row>
    <x:row r="50">
      <x:c r="A50" s="122"/>
      <x:c r="B50" s="122"/>
      <x:c r="C50" s="122"/>
      <x:c r="D50" s="122"/>
      <x:c r="E50" s="122"/>
      <x:c r="F50" s="122"/>
      <x:c r="G50" s="122"/>
      <x:c r="H50" s="122"/>
    </x:row>
    <x:row r="51">
      <x:c r="A51" s="122"/>
      <x:c r="B51" s="122"/>
      <x:c r="C51" s="122"/>
      <x:c r="D51" s="122"/>
      <x:c r="E51" s="122"/>
      <x:c r="F51" s="122"/>
      <x:c r="G51" s="122"/>
      <x:c r="H51" s="122"/>
    </x:row>
    <x:row r="52">
      <x:c r="A52" s="122"/>
      <x:c r="B52" s="122"/>
      <x:c r="C52" s="122"/>
      <x:c r="D52" s="122"/>
      <x:c r="E52" s="122"/>
      <x:c r="F52" s="122"/>
      <x:c r="G52" s="122"/>
      <x:c r="H52" s="122"/>
    </x:row>
    <x:row r="53">
      <x:c r="A53" s="122"/>
      <x:c r="B53" s="122"/>
      <x:c r="C53" s="122"/>
      <x:c r="D53" s="122"/>
      <x:c r="E53" s="122"/>
      <x:c r="F53" s="122"/>
      <x:c r="G53" s="122"/>
      <x:c r="H53" s="122"/>
    </x:row>
    <x:row r="54">
      <x:c r="A54" s="122"/>
      <x:c r="B54" s="122"/>
      <x:c r="C54" s="122"/>
      <x:c r="D54" s="122"/>
      <x:c r="E54" s="122"/>
      <x:c r="F54" s="122"/>
      <x:c r="G54" s="122"/>
      <x:c r="H54" s="122"/>
    </x:row>
    <x:row r="55">
      <x:c r="A55" s="122"/>
      <x:c r="B55" s="122"/>
      <x:c r="C55" s="122"/>
      <x:c r="D55" s="122"/>
      <x:c r="E55" s="122"/>
      <x:c r="F55" s="122"/>
      <x:c r="G55" s="122"/>
      <x:c r="H55" s="122"/>
    </x:row>
    <x:row r="56">
      <x:c r="A56" s="122"/>
      <x:c r="B56" s="122"/>
      <x:c r="C56" s="122"/>
      <x:c r="D56" s="122"/>
      <x:c r="E56" s="122"/>
      <x:c r="F56" s="122"/>
      <x:c r="G56" s="122"/>
      <x:c r="H56" s="122"/>
    </x:row>
    <x:row r="57">
      <x:c r="A57" s="122"/>
      <x:c r="B57" s="122"/>
      <x:c r="C57" s="122"/>
      <x:c r="D57" s="122"/>
      <x:c r="E57" s="122"/>
      <x:c r="F57" s="122"/>
      <x:c r="G57" s="122"/>
      <x:c r="H57" s="122"/>
    </x:row>
    <x:row r="58">
      <x:c r="A58" s="122"/>
      <x:c r="B58" s="122"/>
      <x:c r="C58" s="122"/>
      <x:c r="D58" s="122"/>
      <x:c r="E58" s="122"/>
      <x:c r="F58" s="122"/>
      <x:c r="G58" s="122"/>
      <x:c r="H58" s="122"/>
    </x:row>
    <x:row r="59">
      <x:c r="A59" s="122"/>
      <x:c r="B59" s="122"/>
      <x:c r="C59" s="122"/>
      <x:c r="D59" s="122"/>
      <x:c r="E59" s="122"/>
      <x:c r="F59" s="122"/>
      <x:c r="G59" s="122"/>
      <x:c r="H59" s="122"/>
    </x:row>
    <x:row r="60">
      <x:c r="A60" s="122"/>
      <x:c r="B60" s="122"/>
      <x:c r="C60" s="122"/>
      <x:c r="D60" s="122"/>
      <x:c r="E60" s="122"/>
      <x:c r="F60" s="122"/>
      <x:c r="G60" s="122"/>
      <x:c r="H60" s="122"/>
    </x:row>
    <x:row r="61">
      <x:c r="A61" s="122"/>
      <x:c r="B61" s="122"/>
      <x:c r="C61" s="122"/>
      <x:c r="D61" s="122"/>
      <x:c r="E61" s="122"/>
      <x:c r="F61" s="122"/>
      <x:c r="G61" s="122"/>
      <x:c r="H61" s="122"/>
    </x:row>
    <x:row r="62">
      <x:c r="A62" s="122"/>
      <x:c r="B62" s="122"/>
      <x:c r="C62" s="122"/>
      <x:c r="D62" s="122"/>
      <x:c r="E62" s="122"/>
      <x:c r="F62" s="122"/>
      <x:c r="G62" s="122"/>
      <x:c r="H62" s="122"/>
    </x:row>
    <x:row r="63">
      <x:c r="A63" s="122"/>
      <x:c r="B63" s="122"/>
      <x:c r="C63" s="122"/>
      <x:c r="D63" s="122"/>
      <x:c r="E63" s="122"/>
      <x:c r="F63" s="122"/>
      <x:c r="G63" s="122"/>
      <x:c r="H63" s="122"/>
    </x:row>
    <x:row r="64">
      <x:c r="A64" s="122"/>
      <x:c r="B64" s="122"/>
      <x:c r="C64" s="122"/>
      <x:c r="D64" s="122"/>
      <x:c r="E64" s="122"/>
      <x:c r="F64" s="122"/>
      <x:c r="G64" s="122"/>
      <x:c r="H64" s="122"/>
    </x:row>
    <x:row r="65">
      <x:c r="A65" s="122"/>
      <x:c r="B65" s="122"/>
      <x:c r="C65" s="122"/>
      <x:c r="D65" s="122"/>
      <x:c r="E65" s="122"/>
      <x:c r="F65" s="122"/>
      <x:c r="G65" s="122"/>
      <x:c r="H65" s="122"/>
    </x:row>
    <x:row r="66">
      <x:c r="A66" s="122"/>
      <x:c r="B66" s="122"/>
      <x:c r="C66" s="122"/>
      <x:c r="D66" s="122"/>
      <x:c r="E66" s="122"/>
      <x:c r="F66" s="122"/>
      <x:c r="G66" s="122"/>
      <x:c r="H66" s="122"/>
    </x:row>
    <x:row r="67">
      <x:c r="A67" s="122"/>
      <x:c r="B67" s="122"/>
      <x:c r="C67" s="122"/>
      <x:c r="D67" s="122"/>
      <x:c r="E67" s="122"/>
      <x:c r="F67" s="122"/>
      <x:c r="G67" s="122"/>
      <x:c r="H67" s="122"/>
    </x:row>
    <x:row r="68">
      <x:c r="A68" s="122"/>
      <x:c r="B68" s="122"/>
      <x:c r="C68" s="122"/>
      <x:c r="D68" s="122"/>
      <x:c r="E68" s="122"/>
      <x:c r="F68" s="122"/>
      <x:c r="G68" s="122"/>
      <x:c r="H68" s="122"/>
    </x:row>
    <x:row r="69">
      <x:c r="A69" s="122"/>
      <x:c r="B69" s="122"/>
      <x:c r="C69" s="122"/>
      <x:c r="D69" s="122"/>
      <x:c r="E69" s="122"/>
      <x:c r="F69" s="122"/>
      <x:c r="G69" s="122"/>
      <x:c r="H69" s="122"/>
    </x:row>
    <x:row r="70">
      <x:c r="A70" s="122"/>
      <x:c r="B70" s="122"/>
      <x:c r="C70" s="122"/>
      <x:c r="D70" s="122"/>
      <x:c r="E70" s="122"/>
      <x:c r="F70" s="122"/>
      <x:c r="G70" s="122"/>
      <x:c r="H70" s="122"/>
    </x:row>
    <x:row r="71">
      <x:c r="A71" s="122"/>
      <x:c r="B71" s="122"/>
      <x:c r="C71" s="122"/>
      <x:c r="D71" s="122"/>
      <x:c r="E71" s="122"/>
      <x:c r="F71" s="122"/>
      <x:c r="G71" s="122"/>
      <x:c r="H71" s="122"/>
    </x:row>
    <x:row r="72">
      <x:c r="A72" s="122"/>
      <x:c r="B72" s="122"/>
      <x:c r="C72" s="122"/>
      <x:c r="D72" s="122"/>
      <x:c r="E72" s="122"/>
      <x:c r="F72" s="122"/>
      <x:c r="G72" s="122"/>
      <x:c r="H72" s="122"/>
    </x:row>
    <x:row r="73">
      <x:c r="A73" s="122"/>
      <x:c r="B73" s="122"/>
      <x:c r="C73" s="122"/>
      <x:c r="D73" s="122"/>
      <x:c r="E73" s="122"/>
      <x:c r="F73" s="122"/>
      <x:c r="G73" s="122"/>
      <x:c r="H73" s="122"/>
    </x:row>
    <x:row r="74">
      <x:c r="A74" s="122"/>
      <x:c r="B74" s="122"/>
      <x:c r="C74" s="122"/>
      <x:c r="D74" s="122"/>
      <x:c r="E74" s="122"/>
      <x:c r="F74" s="122"/>
      <x:c r="G74" s="122"/>
      <x:c r="H74" s="122"/>
    </x:row>
    <x:row r="75">
      <x:c r="A75" s="122"/>
      <x:c r="B75" s="122"/>
      <x:c r="C75" s="122"/>
      <x:c r="D75" s="122"/>
      <x:c r="E75" s="122"/>
      <x:c r="F75" s="122"/>
      <x:c r="G75" s="122"/>
      <x:c r="H75" s="122"/>
    </x:row>
    <x:row r="76">
      <x:c r="A76" s="122"/>
      <x:c r="B76" s="122"/>
      <x:c r="C76" s="122"/>
      <x:c r="D76" s="122"/>
      <x:c r="E76" s="122"/>
      <x:c r="F76" s="122"/>
      <x:c r="G76" s="122"/>
      <x:c r="H76" s="122"/>
    </x:row>
    <x:row r="77">
      <x:c r="A77" s="122"/>
      <x:c r="B77" s="122"/>
      <x:c r="C77" s="122"/>
      <x:c r="D77" s="122"/>
      <x:c r="E77" s="122"/>
      <x:c r="F77" s="122"/>
      <x:c r="G77" s="122"/>
      <x:c r="H77" s="122"/>
    </x:row>
    <x:row r="78">
      <x:c r="A78" s="122"/>
      <x:c r="B78" s="122"/>
      <x:c r="C78" s="122"/>
      <x:c r="D78" s="122"/>
      <x:c r="E78" s="122"/>
      <x:c r="F78" s="122"/>
      <x:c r="G78" s="122"/>
      <x:c r="H78" s="122"/>
    </x:row>
    <x:row r="79">
      <x:c r="A79" s="122"/>
      <x:c r="B79" s="122"/>
      <x:c r="C79" s="122"/>
      <x:c r="D79" s="122"/>
      <x:c r="E79" s="122"/>
      <x:c r="F79" s="122"/>
      <x:c r="G79" s="122"/>
      <x:c r="H79" s="122"/>
    </x:row>
    <x:row r="80">
      <x:c r="A80" s="122"/>
      <x:c r="B80" s="122"/>
      <x:c r="C80" s="122"/>
      <x:c r="D80" s="122"/>
      <x:c r="E80" s="122"/>
      <x:c r="F80" s="122"/>
      <x:c r="G80" s="122"/>
      <x:c r="H80" s="122"/>
    </x:row>
  </x:sheetData>
  <x:mergeCells>
    <x:mergeCell ref="A1:H1"/>
    <x:mergeCell ref="A2:H3"/>
    <x:mergeCell ref="A5:D5"/>
    <x:mergeCell ref="A14:H14"/>
    <x:mergeCell ref="A18:H18"/>
    <x:mergeCell ref="A22:H22"/>
    <x:mergeCell ref="A27:H28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14" hidden="0" customWidth="1"/>
    <x:col min="4" max="4" width="38" hidden="0" customWidth="1"/>
    <x:col min="5" max="5" width="14" hidden="0" customWidth="1"/>
    <x:col min="6" max="6" width="14" hidden="0" customWidth="1"/>
    <x:col min="7" max="7" width="48" hidden="0" customWidth="1"/>
    <x:col min="8" max="8" width="26" hidden="0" customWidth="1"/>
  </x:cols>
  <x:sheetData>
    <x:row r="1" ht="28" customHeight="1">
      <x:c r="A1" s="6" t="str">
        <x:v>Step 12 — Agreement of Sale Fees — Chigwanda Pass-through</x:v>
      </x:c>
      <x:c r="B1" s="6"/>
      <x:c r="C1" s="6"/>
      <x:c r="D1" s="6"/>
      <x:c r="E1" s="6"/>
      <x:c r="F1" s="6"/>
      <x:c r="G1" s="6"/>
      <x:c r="H1" s="6"/>
    </x:row>
    <x:row r="2" ht="44" customHeight="1">
      <x:c r="A2" s="121" t="str">
        <x:v>Agreement of sale fees belong to Chigwanda. If customer pays Chigwanda directly, Lake City posts no GL entry. If paid to Lake City, record liability and clear when paid over.</x:v>
      </x:c>
      <x:c r="B2" s="121"/>
      <x:c r="C2" s="121"/>
      <x:c r="D2" s="121"/>
      <x:c r="E2" s="121"/>
      <x:c r="F2" s="121"/>
      <x:c r="G2" s="121"/>
      <x:c r="H2" s="121"/>
    </x:row>
    <x:row r="3" ht="44" customHeight="1">
      <x:c r="A3" s="121"/>
      <x:c r="B3" s="121"/>
      <x:c r="C3" s="121"/>
      <x:c r="D3" s="121"/>
      <x:c r="E3" s="121"/>
      <x:c r="F3" s="121"/>
      <x:c r="G3" s="121"/>
      <x:c r="H3" s="121"/>
    </x:row>
    <x:row r="4">
      <x:c r="A4" s="122"/>
      <x:c r="B4" s="122"/>
      <x:c r="C4" s="122"/>
      <x:c r="D4" s="122"/>
      <x:c r="E4" s="122"/>
      <x:c r="F4" s="122"/>
      <x:c r="G4" s="122"/>
      <x:c r="H4" s="122"/>
    </x:row>
    <x:row r="5">
      <x:c r="A5" s="135" t="str">
        <x:v>Customer pays Chigwanda directly</x:v>
      </x:c>
      <x:c r="B5" s="135"/>
      <x:c r="C5" s="135"/>
      <x:c r="D5" s="135"/>
      <x:c r="E5" s="135"/>
      <x:c r="F5" s="122"/>
      <x:c r="G5" s="122"/>
      <x:c r="H5" s="122"/>
    </x:row>
    <x:row r="6">
      <x:c r="A6" s="163" t="str">
        <x:v>Event</x:v>
      </x:c>
      <x:c r="B6" s="164" t="str">
        <x:v>Debit Account</x:v>
      </x:c>
      <x:c r="C6" s="164" t="str">
        <x:v>Credit Account</x:v>
      </x:c>
      <x:c r="D6" s="164" t="str">
        <x:v>Amount</x:v>
      </x:c>
      <x:c r="E6" s="165" t="str">
        <x:v>Explanation</x:v>
      </x:c>
      <x:c r="F6" s="122"/>
      <x:c r="G6" s="122"/>
      <x:c r="H6" s="122"/>
    </x:row>
    <x:row r="7">
      <x:c r="A7" s="122" t="str">
        <x:v>Customer pays Chigwanda directly</x:v>
      </x:c>
      <x:c r="B7" s="122" t="str">
        <x:v>No entry</x:v>
      </x:c>
      <x:c r="C7" s="122" t="str">
        <x:v>No entry</x:v>
      </x:c>
      <x:c r="D7" s="162" t="n">
        <x:v>0</x:v>
      </x:c>
      <x:c r="E7" s="122" t="str">
        <x:v>Update customer checklist only.</x:v>
      </x:c>
      <x:c r="F7" s="122"/>
      <x:c r="G7" s="122"/>
      <x:c r="H7" s="122"/>
    </x:row>
    <x:row r="8">
      <x:c r="A8" s="122"/>
      <x:c r="B8" s="122"/>
      <x:c r="C8" s="122"/>
      <x:c r="D8" s="122"/>
      <x:c r="E8" s="122"/>
      <x:c r="F8" s="122"/>
      <x:c r="G8" s="122"/>
      <x:c r="H8" s="122"/>
    </x:row>
    <x:row r="9">
      <x:c r="A9" s="135" t="str">
        <x:v>Customer pays Lake City for AOS fee</x:v>
      </x:c>
      <x:c r="B9" s="135"/>
      <x:c r="C9" s="135"/>
      <x:c r="D9" s="135"/>
      <x:c r="E9" s="135"/>
      <x:c r="F9" s="135"/>
      <x:c r="G9" s="135"/>
      <x:c r="H9" s="135"/>
    </x:row>
    <x:row r="10">
      <x:c r="A10" s="163" t="str">
        <x:v>Date</x:v>
      </x:c>
      <x:c r="B10" s="164" t="str">
        <x:v>Debit Account</x:v>
      </x:c>
      <x:c r="C10" s="164" t="str">
        <x:v>Debit Code</x:v>
      </x:c>
      <x:c r="D10" s="164" t="str">
        <x:v>Credit Account</x:v>
      </x:c>
      <x:c r="E10" s="164" t="str">
        <x:v>Credit Code</x:v>
      </x:c>
      <x:c r="F10" s="164" t="str">
        <x:v>Debit Amount</x:v>
      </x:c>
      <x:c r="G10" s="164" t="str">
        <x:v>Credit Amount</x:v>
      </x:c>
      <x:c r="H10" s="165" t="str">
        <x:v>Narrative</x:v>
      </x:c>
    </x:row>
    <x:row r="11">
      <x:c r="A11" s="122" t="str">
        <x:v>Receipt date</x:v>
      </x:c>
      <x:c r="B11" s="122" t="str">
        <x:v>CABS - Main USD Current Account - 1129888509</x:v>
      </x:c>
      <x:c r="C11" s="122" t="str">
        <x:v>101410</x:v>
      </x:c>
      <x:c r="D11" s="122" t="str">
        <x:v>AOS Fees Payable - Chigwanda Legal Practitioners</x:v>
      </x:c>
      <x:c r="E11" s="122" t="str">
        <x:v>213010</x:v>
      </x:c>
      <x:c r="F11" s="162" t="n">
        <x:v>500</x:v>
      </x:c>
      <x:c r="G11" s="162" t="n">
        <x:v>500</x:v>
      </x:c>
      <x:c r="H11" s="122" t="str">
        <x:v>Pass-through receipt; not revenue</x:v>
      </x:c>
    </x:row>
    <x:row r="12">
      <x:c r="A12" s="122"/>
      <x:c r="B12" s="122"/>
      <x:c r="C12" s="122"/>
      <x:c r="D12" s="122"/>
      <x:c r="E12" s="122"/>
      <x:c r="F12" s="122"/>
      <x:c r="G12" s="122"/>
      <x:c r="H12" s="122"/>
    </x:row>
    <x:row r="13">
      <x:c r="A13" s="135" t="str">
        <x:v>Lake City pays Chigwanda</x:v>
      </x:c>
      <x:c r="B13" s="135"/>
      <x:c r="C13" s="135"/>
      <x:c r="D13" s="135"/>
      <x:c r="E13" s="135"/>
      <x:c r="F13" s="135"/>
      <x:c r="G13" s="135"/>
      <x:c r="H13" s="135"/>
    </x:row>
    <x:row r="14">
      <x:c r="A14" s="163" t="str">
        <x:v>Date</x:v>
      </x:c>
      <x:c r="B14" s="164" t="str">
        <x:v>Debit Account</x:v>
      </x:c>
      <x:c r="C14" s="164" t="str">
        <x:v>Debit Code</x:v>
      </x:c>
      <x:c r="D14" s="164" t="str">
        <x:v>Credit Account</x:v>
      </x:c>
      <x:c r="E14" s="164" t="str">
        <x:v>Credit Code</x:v>
      </x:c>
      <x:c r="F14" s="164" t="str">
        <x:v>Debit Amount</x:v>
      </x:c>
      <x:c r="G14" s="164" t="str">
        <x:v>Credit Amount</x:v>
      </x:c>
      <x:c r="H14" s="165" t="str">
        <x:v>Narrative</x:v>
      </x:c>
    </x:row>
    <x:row r="15">
      <x:c r="A15" s="122" t="str">
        <x:v>Payment date</x:v>
      </x:c>
      <x:c r="B15" s="122" t="str">
        <x:v>AOS Fees Payable - Chigwanda Legal Practitioners</x:v>
      </x:c>
      <x:c r="C15" s="122" t="str">
        <x:v>213010</x:v>
      </x:c>
      <x:c r="D15" s="122" t="str">
        <x:v>CABS - Main USD Current Account - 1129888509</x:v>
      </x:c>
      <x:c r="E15" s="122" t="str">
        <x:v>101410</x:v>
      </x:c>
      <x:c r="F15" s="162" t="n">
        <x:v>500</x:v>
      </x:c>
      <x:c r="G15" s="162" t="n">
        <x:v>500</x:v>
      </x:c>
      <x:c r="H15" s="122" t="str">
        <x:v>Clear pass-through liability</x:v>
      </x:c>
    </x:row>
    <x:row r="16">
      <x:c r="A16" s="122"/>
      <x:c r="B16" s="122"/>
      <x:c r="C16" s="122"/>
      <x:c r="D16" s="122"/>
      <x:c r="E16" s="122"/>
      <x:c r="F16" s="122"/>
      <x:c r="G16" s="122"/>
      <x:c r="H16" s="122"/>
    </x:row>
    <x:row r="17">
      <x:c r="A17" s="122"/>
      <x:c r="B17" s="122"/>
      <x:c r="C17" s="122"/>
      <x:c r="D17" s="122"/>
      <x:c r="E17" s="122"/>
      <x:c r="F17" s="122"/>
      <x:c r="G17" s="122"/>
      <x:c r="H17" s="122"/>
    </x:row>
    <x:row r="18">
      <x:c r="A18" s="122"/>
      <x:c r="B18" s="122"/>
      <x:c r="C18" s="122"/>
      <x:c r="D18" s="122"/>
      <x:c r="E18" s="122"/>
      <x:c r="F18" s="122"/>
      <x:c r="G18" s="122"/>
      <x:c r="H18" s="122"/>
    </x:row>
    <x:row r="19">
      <x:c r="A19" s="122"/>
      <x:c r="B19" s="122"/>
      <x:c r="C19" s="122"/>
      <x:c r="D19" s="122"/>
      <x:c r="E19" s="122"/>
      <x:c r="F19" s="122"/>
      <x:c r="G19" s="122"/>
      <x:c r="H19" s="122"/>
    </x:row>
    <x:row r="20">
      <x:c r="A20" s="122"/>
      <x:c r="B20" s="122"/>
      <x:c r="C20" s="122"/>
      <x:c r="D20" s="122"/>
      <x:c r="E20" s="122"/>
      <x:c r="F20" s="122"/>
      <x:c r="G20" s="122"/>
      <x:c r="H20" s="122"/>
    </x:row>
    <x:row r="21">
      <x:c r="A21" s="122"/>
      <x:c r="B21" s="122"/>
      <x:c r="C21" s="122"/>
      <x:c r="D21" s="122"/>
      <x:c r="E21" s="122"/>
      <x:c r="F21" s="122"/>
      <x:c r="G21" s="122"/>
      <x:c r="H21" s="122"/>
    </x:row>
    <x:row r="22">
      <x:c r="A22" s="122"/>
      <x:c r="B22" s="122"/>
      <x:c r="C22" s="122"/>
      <x:c r="D22" s="122"/>
      <x:c r="E22" s="122"/>
      <x:c r="F22" s="122"/>
      <x:c r="G22" s="122"/>
      <x:c r="H22" s="122"/>
    </x:row>
    <x:row r="23">
      <x:c r="A23" s="122"/>
      <x:c r="B23" s="122"/>
      <x:c r="C23" s="122"/>
      <x:c r="D23" s="122"/>
      <x:c r="E23" s="122"/>
      <x:c r="F23" s="122"/>
      <x:c r="G23" s="122"/>
      <x:c r="H23" s="122"/>
    </x:row>
    <x:row r="24">
      <x:c r="A24" s="122"/>
      <x:c r="B24" s="122"/>
      <x:c r="C24" s="122"/>
      <x:c r="D24" s="122"/>
      <x:c r="E24" s="122"/>
      <x:c r="F24" s="122"/>
      <x:c r="G24" s="122"/>
      <x:c r="H24" s="122"/>
    </x:row>
    <x:row r="25">
      <x:c r="A25" s="122"/>
      <x:c r="B25" s="122"/>
      <x:c r="C25" s="122"/>
      <x:c r="D25" s="122"/>
      <x:c r="E25" s="122"/>
      <x:c r="F25" s="122"/>
      <x:c r="G25" s="122"/>
      <x:c r="H25" s="122"/>
    </x:row>
    <x:row r="26">
      <x:c r="A26" s="122"/>
      <x:c r="B26" s="122"/>
      <x:c r="C26" s="122"/>
      <x:c r="D26" s="122"/>
      <x:c r="E26" s="122"/>
      <x:c r="F26" s="122"/>
      <x:c r="G26" s="122"/>
      <x:c r="H26" s="122"/>
    </x:row>
    <x:row r="27">
      <x:c r="A27" s="122"/>
      <x:c r="B27" s="122"/>
      <x:c r="C27" s="122"/>
      <x:c r="D27" s="122"/>
      <x:c r="E27" s="122"/>
      <x:c r="F27" s="122"/>
      <x:c r="G27" s="122"/>
      <x:c r="H27" s="122"/>
    </x:row>
    <x:row r="28">
      <x:c r="A28" s="122"/>
      <x:c r="B28" s="122"/>
      <x:c r="C28" s="122"/>
      <x:c r="D28" s="122"/>
      <x:c r="E28" s="122"/>
      <x:c r="F28" s="122"/>
      <x:c r="G28" s="122"/>
      <x:c r="H28" s="122"/>
    </x:row>
    <x:row r="29">
      <x:c r="A29" s="122"/>
      <x:c r="B29" s="122"/>
      <x:c r="C29" s="122"/>
      <x:c r="D29" s="122"/>
      <x:c r="E29" s="122"/>
      <x:c r="F29" s="122"/>
      <x:c r="G29" s="122"/>
      <x:c r="H29" s="122"/>
    </x:row>
    <x:row r="30">
      <x:c r="A30" s="122"/>
      <x:c r="B30" s="122"/>
      <x:c r="C30" s="122"/>
      <x:c r="D30" s="122"/>
      <x:c r="E30" s="122"/>
      <x:c r="F30" s="122"/>
      <x:c r="G30" s="122"/>
      <x:c r="H30" s="122"/>
    </x:row>
    <x:row r="31">
      <x:c r="A31" s="122"/>
      <x:c r="B31" s="122"/>
      <x:c r="C31" s="122"/>
      <x:c r="D31" s="122"/>
      <x:c r="E31" s="122"/>
      <x:c r="F31" s="122"/>
      <x:c r="G31" s="122"/>
      <x:c r="H31" s="122"/>
    </x:row>
    <x:row r="32">
      <x:c r="A32" s="122"/>
      <x:c r="B32" s="122"/>
      <x:c r="C32" s="122"/>
      <x:c r="D32" s="122"/>
      <x:c r="E32" s="122"/>
      <x:c r="F32" s="122"/>
      <x:c r="G32" s="122"/>
      <x:c r="H32" s="122"/>
    </x:row>
    <x:row r="33">
      <x:c r="A33" s="122"/>
      <x:c r="B33" s="122"/>
      <x:c r="C33" s="122"/>
      <x:c r="D33" s="122"/>
      <x:c r="E33" s="122"/>
      <x:c r="F33" s="122"/>
      <x:c r="G33" s="122"/>
      <x:c r="H33" s="122"/>
    </x:row>
    <x:row r="34">
      <x:c r="A34" s="122"/>
      <x:c r="B34" s="122"/>
      <x:c r="C34" s="122"/>
      <x:c r="D34" s="122"/>
      <x:c r="E34" s="122"/>
      <x:c r="F34" s="122"/>
      <x:c r="G34" s="122"/>
      <x:c r="H34" s="122"/>
    </x:row>
    <x:row r="35">
      <x:c r="A35" s="122"/>
      <x:c r="B35" s="122"/>
      <x:c r="C35" s="122"/>
      <x:c r="D35" s="122"/>
      <x:c r="E35" s="122"/>
      <x:c r="F35" s="122"/>
      <x:c r="G35" s="122"/>
      <x:c r="H35" s="122"/>
    </x:row>
    <x:row r="36">
      <x:c r="A36" s="122"/>
      <x:c r="B36" s="122"/>
      <x:c r="C36" s="122"/>
      <x:c r="D36" s="122"/>
      <x:c r="E36" s="122"/>
      <x:c r="F36" s="122"/>
      <x:c r="G36" s="122"/>
      <x:c r="H36" s="122"/>
    </x:row>
    <x:row r="37">
      <x:c r="A37" s="122"/>
      <x:c r="B37" s="122"/>
      <x:c r="C37" s="122"/>
      <x:c r="D37" s="122"/>
      <x:c r="E37" s="122"/>
      <x:c r="F37" s="122"/>
      <x:c r="G37" s="122"/>
      <x:c r="H37" s="122"/>
    </x:row>
    <x:row r="38">
      <x:c r="A38" s="122"/>
      <x:c r="B38" s="122"/>
      <x:c r="C38" s="122"/>
      <x:c r="D38" s="122"/>
      <x:c r="E38" s="122"/>
      <x:c r="F38" s="122"/>
      <x:c r="G38" s="122"/>
      <x:c r="H38" s="122"/>
    </x:row>
    <x:row r="39">
      <x:c r="A39" s="122"/>
      <x:c r="B39" s="122"/>
      <x:c r="C39" s="122"/>
      <x:c r="D39" s="122"/>
      <x:c r="E39" s="122"/>
      <x:c r="F39" s="122"/>
      <x:c r="G39" s="122"/>
      <x:c r="H39" s="122"/>
    </x:row>
    <x:row r="40">
      <x:c r="A40" s="122"/>
      <x:c r="B40" s="122"/>
      <x:c r="C40" s="122"/>
      <x:c r="D40" s="122"/>
      <x:c r="E40" s="122"/>
      <x:c r="F40" s="122"/>
      <x:c r="G40" s="122"/>
      <x:c r="H40" s="122"/>
    </x:row>
    <x:row r="41">
      <x:c r="A41" s="122"/>
      <x:c r="B41" s="122"/>
      <x:c r="C41" s="122"/>
      <x:c r="D41" s="122"/>
      <x:c r="E41" s="122"/>
      <x:c r="F41" s="122"/>
      <x:c r="G41" s="122"/>
      <x:c r="H41" s="122"/>
    </x:row>
    <x:row r="42">
      <x:c r="A42" s="122"/>
      <x:c r="B42" s="122"/>
      <x:c r="C42" s="122"/>
      <x:c r="D42" s="122"/>
      <x:c r="E42" s="122"/>
      <x:c r="F42" s="122"/>
      <x:c r="G42" s="122"/>
      <x:c r="H42" s="122"/>
    </x:row>
    <x:row r="43">
      <x:c r="A43" s="122"/>
      <x:c r="B43" s="122"/>
      <x:c r="C43" s="122"/>
      <x:c r="D43" s="122"/>
      <x:c r="E43" s="122"/>
      <x:c r="F43" s="122"/>
      <x:c r="G43" s="122"/>
      <x:c r="H43" s="122"/>
    </x:row>
    <x:row r="44">
      <x:c r="A44" s="122"/>
      <x:c r="B44" s="122"/>
      <x:c r="C44" s="122"/>
      <x:c r="D44" s="122"/>
      <x:c r="E44" s="122"/>
      <x:c r="F44" s="122"/>
      <x:c r="G44" s="122"/>
      <x:c r="H44" s="122"/>
    </x:row>
    <x:row r="45">
      <x:c r="A45" s="122"/>
      <x:c r="B45" s="122"/>
      <x:c r="C45" s="122"/>
      <x:c r="D45" s="122"/>
      <x:c r="E45" s="122"/>
      <x:c r="F45" s="122"/>
      <x:c r="G45" s="122"/>
      <x:c r="H45" s="122"/>
    </x:row>
    <x:row r="46">
      <x:c r="A46" s="122"/>
      <x:c r="B46" s="122"/>
      <x:c r="C46" s="122"/>
      <x:c r="D46" s="122"/>
      <x:c r="E46" s="122"/>
      <x:c r="F46" s="122"/>
      <x:c r="G46" s="122"/>
      <x:c r="H46" s="122"/>
    </x:row>
    <x:row r="47">
      <x:c r="A47" s="122"/>
      <x:c r="B47" s="122"/>
      <x:c r="C47" s="122"/>
      <x:c r="D47" s="122"/>
      <x:c r="E47" s="122"/>
      <x:c r="F47" s="122"/>
      <x:c r="G47" s="122"/>
      <x:c r="H47" s="122"/>
    </x:row>
    <x:row r="48">
      <x:c r="A48" s="122"/>
      <x:c r="B48" s="122"/>
      <x:c r="C48" s="122"/>
      <x:c r="D48" s="122"/>
      <x:c r="E48" s="122"/>
      <x:c r="F48" s="122"/>
      <x:c r="G48" s="122"/>
      <x:c r="H48" s="122"/>
    </x:row>
    <x:row r="49">
      <x:c r="A49" s="122"/>
      <x:c r="B49" s="122"/>
      <x:c r="C49" s="122"/>
      <x:c r="D49" s="122"/>
      <x:c r="E49" s="122"/>
      <x:c r="F49" s="122"/>
      <x:c r="G49" s="122"/>
      <x:c r="H49" s="122"/>
    </x:row>
    <x:row r="50">
      <x:c r="A50" s="122"/>
      <x:c r="B50" s="122"/>
      <x:c r="C50" s="122"/>
      <x:c r="D50" s="122"/>
      <x:c r="E50" s="122"/>
      <x:c r="F50" s="122"/>
      <x:c r="G50" s="122"/>
      <x:c r="H50" s="122"/>
    </x:row>
    <x:row r="51">
      <x:c r="A51" s="122"/>
      <x:c r="B51" s="122"/>
      <x:c r="C51" s="122"/>
      <x:c r="D51" s="122"/>
      <x:c r="E51" s="122"/>
      <x:c r="F51" s="122"/>
      <x:c r="G51" s="122"/>
      <x:c r="H51" s="122"/>
    </x:row>
    <x:row r="52">
      <x:c r="A52" s="122"/>
      <x:c r="B52" s="122"/>
      <x:c r="C52" s="122"/>
      <x:c r="D52" s="122"/>
      <x:c r="E52" s="122"/>
      <x:c r="F52" s="122"/>
      <x:c r="G52" s="122"/>
      <x:c r="H52" s="122"/>
    </x:row>
    <x:row r="53">
      <x:c r="A53" s="122"/>
      <x:c r="B53" s="122"/>
      <x:c r="C53" s="122"/>
      <x:c r="D53" s="122"/>
      <x:c r="E53" s="122"/>
      <x:c r="F53" s="122"/>
      <x:c r="G53" s="122"/>
      <x:c r="H53" s="122"/>
    </x:row>
    <x:row r="54">
      <x:c r="A54" s="122"/>
      <x:c r="B54" s="122"/>
      <x:c r="C54" s="122"/>
      <x:c r="D54" s="122"/>
      <x:c r="E54" s="122"/>
      <x:c r="F54" s="122"/>
      <x:c r="G54" s="122"/>
      <x:c r="H54" s="122"/>
    </x:row>
    <x:row r="55">
      <x:c r="A55" s="122"/>
      <x:c r="B55" s="122"/>
      <x:c r="C55" s="122"/>
      <x:c r="D55" s="122"/>
      <x:c r="E55" s="122"/>
      <x:c r="F55" s="122"/>
      <x:c r="G55" s="122"/>
      <x:c r="H55" s="122"/>
    </x:row>
    <x:row r="56">
      <x:c r="A56" s="122"/>
      <x:c r="B56" s="122"/>
      <x:c r="C56" s="122"/>
      <x:c r="D56" s="122"/>
      <x:c r="E56" s="122"/>
      <x:c r="F56" s="122"/>
      <x:c r="G56" s="122"/>
      <x:c r="H56" s="122"/>
    </x:row>
    <x:row r="57">
      <x:c r="A57" s="122"/>
      <x:c r="B57" s="122"/>
      <x:c r="C57" s="122"/>
      <x:c r="D57" s="122"/>
      <x:c r="E57" s="122"/>
      <x:c r="F57" s="122"/>
      <x:c r="G57" s="122"/>
      <x:c r="H57" s="122"/>
    </x:row>
    <x:row r="58">
      <x:c r="A58" s="122"/>
      <x:c r="B58" s="122"/>
      <x:c r="C58" s="122"/>
      <x:c r="D58" s="122"/>
      <x:c r="E58" s="122"/>
      <x:c r="F58" s="122"/>
      <x:c r="G58" s="122"/>
      <x:c r="H58" s="122"/>
    </x:row>
    <x:row r="59">
      <x:c r="A59" s="122"/>
      <x:c r="B59" s="122"/>
      <x:c r="C59" s="122"/>
      <x:c r="D59" s="122"/>
      <x:c r="E59" s="122"/>
      <x:c r="F59" s="122"/>
      <x:c r="G59" s="122"/>
      <x:c r="H59" s="122"/>
    </x:row>
    <x:row r="60">
      <x:c r="A60" s="122"/>
      <x:c r="B60" s="122"/>
      <x:c r="C60" s="122"/>
      <x:c r="D60" s="122"/>
      <x:c r="E60" s="122"/>
      <x:c r="F60" s="122"/>
      <x:c r="G60" s="122"/>
      <x:c r="H60" s="122"/>
    </x:row>
    <x:row r="61">
      <x:c r="A61" s="122"/>
      <x:c r="B61" s="122"/>
      <x:c r="C61" s="122"/>
      <x:c r="D61" s="122"/>
      <x:c r="E61" s="122"/>
      <x:c r="F61" s="122"/>
      <x:c r="G61" s="122"/>
      <x:c r="H61" s="122"/>
    </x:row>
    <x:row r="62">
      <x:c r="A62" s="122"/>
      <x:c r="B62" s="122"/>
      <x:c r="C62" s="122"/>
      <x:c r="D62" s="122"/>
      <x:c r="E62" s="122"/>
      <x:c r="F62" s="122"/>
      <x:c r="G62" s="122"/>
      <x:c r="H62" s="122"/>
    </x:row>
    <x:row r="63">
      <x:c r="A63" s="122"/>
      <x:c r="B63" s="122"/>
      <x:c r="C63" s="122"/>
      <x:c r="D63" s="122"/>
      <x:c r="E63" s="122"/>
      <x:c r="F63" s="122"/>
      <x:c r="G63" s="122"/>
      <x:c r="H63" s="122"/>
    </x:row>
    <x:row r="64">
      <x:c r="A64" s="122"/>
      <x:c r="B64" s="122"/>
      <x:c r="C64" s="122"/>
      <x:c r="D64" s="122"/>
      <x:c r="E64" s="122"/>
      <x:c r="F64" s="122"/>
      <x:c r="G64" s="122"/>
      <x:c r="H64" s="122"/>
    </x:row>
    <x:row r="65">
      <x:c r="A65" s="122"/>
      <x:c r="B65" s="122"/>
      <x:c r="C65" s="122"/>
      <x:c r="D65" s="122"/>
      <x:c r="E65" s="122"/>
      <x:c r="F65" s="122"/>
      <x:c r="G65" s="122"/>
      <x:c r="H65" s="122"/>
    </x:row>
    <x:row r="66">
      <x:c r="A66" s="122"/>
      <x:c r="B66" s="122"/>
      <x:c r="C66" s="122"/>
      <x:c r="D66" s="122"/>
      <x:c r="E66" s="122"/>
      <x:c r="F66" s="122"/>
      <x:c r="G66" s="122"/>
      <x:c r="H66" s="122"/>
    </x:row>
    <x:row r="67">
      <x:c r="A67" s="122"/>
      <x:c r="B67" s="122"/>
      <x:c r="C67" s="122"/>
      <x:c r="D67" s="122"/>
      <x:c r="E67" s="122"/>
      <x:c r="F67" s="122"/>
      <x:c r="G67" s="122"/>
      <x:c r="H67" s="122"/>
    </x:row>
    <x:row r="68">
      <x:c r="A68" s="122"/>
      <x:c r="B68" s="122"/>
      <x:c r="C68" s="122"/>
      <x:c r="D68" s="122"/>
      <x:c r="E68" s="122"/>
      <x:c r="F68" s="122"/>
      <x:c r="G68" s="122"/>
      <x:c r="H68" s="122"/>
    </x:row>
    <x:row r="69">
      <x:c r="A69" s="122"/>
      <x:c r="B69" s="122"/>
      <x:c r="C69" s="122"/>
      <x:c r="D69" s="122"/>
      <x:c r="E69" s="122"/>
      <x:c r="F69" s="122"/>
      <x:c r="G69" s="122"/>
      <x:c r="H69" s="122"/>
    </x:row>
    <x:row r="70">
      <x:c r="A70" s="122"/>
      <x:c r="B70" s="122"/>
      <x:c r="C70" s="122"/>
      <x:c r="D70" s="122"/>
      <x:c r="E70" s="122"/>
      <x:c r="F70" s="122"/>
      <x:c r="G70" s="122"/>
      <x:c r="H70" s="122"/>
    </x:row>
    <x:row r="71">
      <x:c r="A71" s="122"/>
      <x:c r="B71" s="122"/>
      <x:c r="C71" s="122"/>
      <x:c r="D71" s="122"/>
      <x:c r="E71" s="122"/>
      <x:c r="F71" s="122"/>
      <x:c r="G71" s="122"/>
      <x:c r="H71" s="122"/>
    </x:row>
    <x:row r="72">
      <x:c r="A72" s="122"/>
      <x:c r="B72" s="122"/>
      <x:c r="C72" s="122"/>
      <x:c r="D72" s="122"/>
      <x:c r="E72" s="122"/>
      <x:c r="F72" s="122"/>
      <x:c r="G72" s="122"/>
      <x:c r="H72" s="122"/>
    </x:row>
    <x:row r="73">
      <x:c r="A73" s="122"/>
      <x:c r="B73" s="122"/>
      <x:c r="C73" s="122"/>
      <x:c r="D73" s="122"/>
      <x:c r="E73" s="122"/>
      <x:c r="F73" s="122"/>
      <x:c r="G73" s="122"/>
      <x:c r="H73" s="122"/>
    </x:row>
    <x:row r="74">
      <x:c r="A74" s="122"/>
      <x:c r="B74" s="122"/>
      <x:c r="C74" s="122"/>
      <x:c r="D74" s="122"/>
      <x:c r="E74" s="122"/>
      <x:c r="F74" s="122"/>
      <x:c r="G74" s="122"/>
      <x:c r="H74" s="122"/>
    </x:row>
    <x:row r="75">
      <x:c r="A75" s="122"/>
      <x:c r="B75" s="122"/>
      <x:c r="C75" s="122"/>
      <x:c r="D75" s="122"/>
      <x:c r="E75" s="122"/>
      <x:c r="F75" s="122"/>
      <x:c r="G75" s="122"/>
      <x:c r="H75" s="122"/>
    </x:row>
    <x:row r="76">
      <x:c r="A76" s="122"/>
      <x:c r="B76" s="122"/>
      <x:c r="C76" s="122"/>
      <x:c r="D76" s="122"/>
      <x:c r="E76" s="122"/>
      <x:c r="F76" s="122"/>
      <x:c r="G76" s="122"/>
      <x:c r="H76" s="122"/>
    </x:row>
    <x:row r="77">
      <x:c r="A77" s="122"/>
      <x:c r="B77" s="122"/>
      <x:c r="C77" s="122"/>
      <x:c r="D77" s="122"/>
      <x:c r="E77" s="122"/>
      <x:c r="F77" s="122"/>
      <x:c r="G77" s="122"/>
      <x:c r="H77" s="122"/>
    </x:row>
    <x:row r="78">
      <x:c r="A78" s="122"/>
      <x:c r="B78" s="122"/>
      <x:c r="C78" s="122"/>
      <x:c r="D78" s="122"/>
      <x:c r="E78" s="122"/>
      <x:c r="F78" s="122"/>
      <x:c r="G78" s="122"/>
      <x:c r="H78" s="122"/>
    </x:row>
    <x:row r="79">
      <x:c r="A79" s="122"/>
      <x:c r="B79" s="122"/>
      <x:c r="C79" s="122"/>
      <x:c r="D79" s="122"/>
      <x:c r="E79" s="122"/>
      <x:c r="F79" s="122"/>
      <x:c r="G79" s="122"/>
      <x:c r="H79" s="122"/>
    </x:row>
    <x:row r="80">
      <x:c r="A80" s="122"/>
      <x:c r="B80" s="122"/>
      <x:c r="C80" s="122"/>
      <x:c r="D80" s="122"/>
      <x:c r="E80" s="122"/>
      <x:c r="F80" s="122"/>
      <x:c r="G80" s="122"/>
      <x:c r="H80" s="122"/>
    </x:row>
  </x:sheetData>
  <x:mergeCells>
    <x:mergeCell ref="A1:H1"/>
    <x:mergeCell ref="A2:H3"/>
    <x:mergeCell ref="A5:E5"/>
    <x:mergeCell ref="A9:H9"/>
    <x:mergeCell ref="A13:H13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14" hidden="0" customWidth="1"/>
    <x:col min="4" max="4" width="38" hidden="0" customWidth="1"/>
    <x:col min="5" max="5" width="14" hidden="0" customWidth="1"/>
    <x:col min="6" max="6" width="14" hidden="0" customWidth="1"/>
    <x:col min="7" max="7" width="48" hidden="0" customWidth="1"/>
    <x:col min="8" max="8" width="26" hidden="0" customWidth="1"/>
  </x:cols>
  <x:sheetData>
    <x:row r="1" ht="28" customHeight="1">
      <x:c r="A1" s="6" t="str">
        <x:v>Step 13 — Stamp Duty / Conveyancing Pass-through</x:v>
      </x:c>
      <x:c r="B1" s="6"/>
      <x:c r="C1" s="6"/>
      <x:c r="D1" s="6"/>
      <x:c r="E1" s="6"/>
      <x:c r="F1" s="6"/>
      <x:c r="G1" s="6"/>
      <x:c r="H1" s="6"/>
    </x:row>
    <x:row r="2" ht="44" customHeight="1">
      <x:c r="A2" s="121" t="str">
        <x:v>Amounts collected from customers for stamp duty/conveyancing/transfer costs are pass-through liabilities if they belong to lawyers or statutory authorities.</x:v>
      </x:c>
      <x:c r="B2" s="121"/>
      <x:c r="C2" s="121"/>
      <x:c r="D2" s="121"/>
      <x:c r="E2" s="121"/>
      <x:c r="F2" s="121"/>
      <x:c r="G2" s="121"/>
      <x:c r="H2" s="121"/>
    </x:row>
    <x:row r="3" ht="44" customHeight="1">
      <x:c r="A3" s="121"/>
      <x:c r="B3" s="121"/>
      <x:c r="C3" s="121"/>
      <x:c r="D3" s="121"/>
      <x:c r="E3" s="121"/>
      <x:c r="F3" s="121"/>
      <x:c r="G3" s="121"/>
      <x:c r="H3" s="121"/>
    </x:row>
    <x:row r="4">
      <x:c r="A4" s="122"/>
      <x:c r="B4" s="122"/>
      <x:c r="C4" s="122"/>
      <x:c r="D4" s="122"/>
      <x:c r="E4" s="122"/>
      <x:c r="F4" s="122"/>
      <x:c r="G4" s="122"/>
      <x:c r="H4" s="122"/>
    </x:row>
    <x:row r="5">
      <x:c r="A5" s="135" t="str">
        <x:v>Customer pays Lake City for conveyancing/statutory fees</x:v>
      </x:c>
      <x:c r="B5" s="135"/>
      <x:c r="C5" s="135"/>
      <x:c r="D5" s="135"/>
      <x:c r="E5" s="135"/>
      <x:c r="F5" s="135"/>
      <x:c r="G5" s="135"/>
      <x:c r="H5" s="135"/>
    </x:row>
    <x:row r="6">
      <x:c r="A6" s="163" t="str">
        <x:v>Date</x:v>
      </x:c>
      <x:c r="B6" s="164" t="str">
        <x:v>Debit Account</x:v>
      </x:c>
      <x:c r="C6" s="164" t="str">
        <x:v>Debit Code</x:v>
      </x:c>
      <x:c r="D6" s="164" t="str">
        <x:v>Credit Account</x:v>
      </x:c>
      <x:c r="E6" s="164" t="str">
        <x:v>Credit Code</x:v>
      </x:c>
      <x:c r="F6" s="164" t="str">
        <x:v>Debit Amount</x:v>
      </x:c>
      <x:c r="G6" s="164" t="str">
        <x:v>Credit Amount</x:v>
      </x:c>
      <x:c r="H6" s="165" t="str">
        <x:v>Narrative</x:v>
      </x:c>
    </x:row>
    <x:row r="7">
      <x:c r="A7" s="122" t="str">
        <x:v>Receipt date</x:v>
      </x:c>
      <x:c r="B7" s="122" t="str">
        <x:v>CABS - Main USD Current Account - 1129888509</x:v>
      </x:c>
      <x:c r="C7" s="122" t="str">
        <x:v>101410</x:v>
      </x:c>
      <x:c r="D7" s="122" t="str">
        <x:v>Conveyancing Fees Payable</x:v>
      </x:c>
      <x:c r="E7" s="122" t="str">
        <x:v>213020</x:v>
      </x:c>
      <x:c r="F7" s="162" t="n">
        <x:v>1000</x:v>
      </x:c>
      <x:c r="G7" s="162" t="n">
        <x:v>1000</x:v>
      </x:c>
      <x:c r="H7" s="122" t="str">
        <x:v>Collect pass-through amount</x:v>
      </x:c>
    </x:row>
    <x:row r="8">
      <x:c r="A8" s="122"/>
      <x:c r="B8" s="122"/>
      <x:c r="C8" s="122"/>
      <x:c r="D8" s="122"/>
      <x:c r="E8" s="122"/>
      <x:c r="F8" s="122"/>
      <x:c r="G8" s="122"/>
      <x:c r="H8" s="122"/>
    </x:row>
    <x:row r="9">
      <x:c r="A9" s="135" t="str">
        <x:v>Lake City pays lawyer/statutory authority</x:v>
      </x:c>
      <x:c r="B9" s="135"/>
      <x:c r="C9" s="135"/>
      <x:c r="D9" s="135"/>
      <x:c r="E9" s="135"/>
      <x:c r="F9" s="135"/>
      <x:c r="G9" s="135"/>
      <x:c r="H9" s="135"/>
    </x:row>
    <x:row r="10">
      <x:c r="A10" s="163" t="str">
        <x:v>Date</x:v>
      </x:c>
      <x:c r="B10" s="164" t="str">
        <x:v>Debit Account</x:v>
      </x:c>
      <x:c r="C10" s="164" t="str">
        <x:v>Debit Code</x:v>
      </x:c>
      <x:c r="D10" s="164" t="str">
        <x:v>Credit Account</x:v>
      </x:c>
      <x:c r="E10" s="164" t="str">
        <x:v>Credit Code</x:v>
      </x:c>
      <x:c r="F10" s="164" t="str">
        <x:v>Debit Amount</x:v>
      </x:c>
      <x:c r="G10" s="164" t="str">
        <x:v>Credit Amount</x:v>
      </x:c>
      <x:c r="H10" s="165" t="str">
        <x:v>Narrative</x:v>
      </x:c>
    </x:row>
    <x:row r="11">
      <x:c r="A11" s="122" t="str">
        <x:v>Payment date</x:v>
      </x:c>
      <x:c r="B11" s="122" t="str">
        <x:v>Conveyancing Fees Payable</x:v>
      </x:c>
      <x:c r="C11" s="122" t="str">
        <x:v>213020</x:v>
      </x:c>
      <x:c r="D11" s="122" t="str">
        <x:v>CABS - Main USD Current Account - 1129888509</x:v>
      </x:c>
      <x:c r="E11" s="122" t="str">
        <x:v>101410</x:v>
      </x:c>
      <x:c r="F11" s="162" t="n">
        <x:v>1000</x:v>
      </x:c>
      <x:c r="G11" s="162" t="n">
        <x:v>1000</x:v>
      </x:c>
      <x:c r="H11" s="122" t="str">
        <x:v>Clear pass-through liability</x:v>
      </x:c>
    </x:row>
    <x:row r="12">
      <x:c r="A12" s="122"/>
      <x:c r="B12" s="122"/>
      <x:c r="C12" s="122"/>
      <x:c r="D12" s="122"/>
      <x:c r="E12" s="122"/>
      <x:c r="F12" s="122"/>
      <x:c r="G12" s="122"/>
      <x:c r="H12" s="122"/>
    </x:row>
    <x:row r="13">
      <x:c r="A13" s="121" t="str">
        <x:v>If stamp duty needs separate statutory payable, create/use a dedicated payable account.</x:v>
      </x:c>
      <x:c r="B13" s="121"/>
      <x:c r="C13" s="121"/>
      <x:c r="D13" s="121"/>
      <x:c r="E13" s="121"/>
      <x:c r="F13" s="121"/>
      <x:c r="G13" s="121"/>
      <x:c r="H13" s="121"/>
    </x:row>
    <x:row r="14">
      <x:c r="A14" s="121"/>
      <x:c r="B14" s="121"/>
      <x:c r="C14" s="121"/>
      <x:c r="D14" s="121"/>
      <x:c r="E14" s="121"/>
      <x:c r="F14" s="121"/>
      <x:c r="G14" s="121"/>
      <x:c r="H14" s="121"/>
    </x:row>
    <x:row r="15">
      <x:c r="A15" s="122"/>
      <x:c r="B15" s="122"/>
      <x:c r="C15" s="122"/>
      <x:c r="D15" s="122"/>
      <x:c r="E15" s="122"/>
      <x:c r="F15" s="122"/>
      <x:c r="G15" s="122"/>
      <x:c r="H15" s="122"/>
    </x:row>
    <x:row r="16">
      <x:c r="A16" s="122"/>
      <x:c r="B16" s="122"/>
      <x:c r="C16" s="122"/>
      <x:c r="D16" s="122"/>
      <x:c r="E16" s="122"/>
      <x:c r="F16" s="122"/>
      <x:c r="G16" s="122"/>
      <x:c r="H16" s="122"/>
    </x:row>
    <x:row r="17">
      <x:c r="A17" s="122"/>
      <x:c r="B17" s="122"/>
      <x:c r="C17" s="122"/>
      <x:c r="D17" s="122"/>
      <x:c r="E17" s="122"/>
      <x:c r="F17" s="122"/>
      <x:c r="G17" s="122"/>
      <x:c r="H17" s="122"/>
    </x:row>
    <x:row r="18">
      <x:c r="A18" s="122"/>
      <x:c r="B18" s="122"/>
      <x:c r="C18" s="122"/>
      <x:c r="D18" s="122"/>
      <x:c r="E18" s="122"/>
      <x:c r="F18" s="122"/>
      <x:c r="G18" s="122"/>
      <x:c r="H18" s="122"/>
    </x:row>
    <x:row r="19">
      <x:c r="A19" s="122"/>
      <x:c r="B19" s="122"/>
      <x:c r="C19" s="122"/>
      <x:c r="D19" s="122"/>
      <x:c r="E19" s="122"/>
      <x:c r="F19" s="122"/>
      <x:c r="G19" s="122"/>
      <x:c r="H19" s="122"/>
    </x:row>
    <x:row r="20">
      <x:c r="A20" s="122"/>
      <x:c r="B20" s="122"/>
      <x:c r="C20" s="122"/>
      <x:c r="D20" s="122"/>
      <x:c r="E20" s="122"/>
      <x:c r="F20" s="122"/>
      <x:c r="G20" s="122"/>
      <x:c r="H20" s="122"/>
    </x:row>
    <x:row r="21">
      <x:c r="A21" s="122"/>
      <x:c r="B21" s="122"/>
      <x:c r="C21" s="122"/>
      <x:c r="D21" s="122"/>
      <x:c r="E21" s="122"/>
      <x:c r="F21" s="122"/>
      <x:c r="G21" s="122"/>
      <x:c r="H21" s="122"/>
    </x:row>
    <x:row r="22">
      <x:c r="A22" s="122"/>
      <x:c r="B22" s="122"/>
      <x:c r="C22" s="122"/>
      <x:c r="D22" s="122"/>
      <x:c r="E22" s="122"/>
      <x:c r="F22" s="122"/>
      <x:c r="G22" s="122"/>
      <x:c r="H22" s="122"/>
    </x:row>
    <x:row r="23">
      <x:c r="A23" s="122"/>
      <x:c r="B23" s="122"/>
      <x:c r="C23" s="122"/>
      <x:c r="D23" s="122"/>
      <x:c r="E23" s="122"/>
      <x:c r="F23" s="122"/>
      <x:c r="G23" s="122"/>
      <x:c r="H23" s="122"/>
    </x:row>
    <x:row r="24">
      <x:c r="A24" s="122"/>
      <x:c r="B24" s="122"/>
      <x:c r="C24" s="122"/>
      <x:c r="D24" s="122"/>
      <x:c r="E24" s="122"/>
      <x:c r="F24" s="122"/>
      <x:c r="G24" s="122"/>
      <x:c r="H24" s="122"/>
    </x:row>
    <x:row r="25">
      <x:c r="A25" s="122"/>
      <x:c r="B25" s="122"/>
      <x:c r="C25" s="122"/>
      <x:c r="D25" s="122"/>
      <x:c r="E25" s="122"/>
      <x:c r="F25" s="122"/>
      <x:c r="G25" s="122"/>
      <x:c r="H25" s="122"/>
    </x:row>
    <x:row r="26">
      <x:c r="A26" s="122"/>
      <x:c r="B26" s="122"/>
      <x:c r="C26" s="122"/>
      <x:c r="D26" s="122"/>
      <x:c r="E26" s="122"/>
      <x:c r="F26" s="122"/>
      <x:c r="G26" s="122"/>
      <x:c r="H26" s="122"/>
    </x:row>
    <x:row r="27">
      <x:c r="A27" s="122"/>
      <x:c r="B27" s="122"/>
      <x:c r="C27" s="122"/>
      <x:c r="D27" s="122"/>
      <x:c r="E27" s="122"/>
      <x:c r="F27" s="122"/>
      <x:c r="G27" s="122"/>
      <x:c r="H27" s="122"/>
    </x:row>
    <x:row r="28">
      <x:c r="A28" s="122"/>
      <x:c r="B28" s="122"/>
      <x:c r="C28" s="122"/>
      <x:c r="D28" s="122"/>
      <x:c r="E28" s="122"/>
      <x:c r="F28" s="122"/>
      <x:c r="G28" s="122"/>
      <x:c r="H28" s="122"/>
    </x:row>
    <x:row r="29">
      <x:c r="A29" s="122"/>
      <x:c r="B29" s="122"/>
      <x:c r="C29" s="122"/>
      <x:c r="D29" s="122"/>
      <x:c r="E29" s="122"/>
      <x:c r="F29" s="122"/>
      <x:c r="G29" s="122"/>
      <x:c r="H29" s="122"/>
    </x:row>
    <x:row r="30">
      <x:c r="A30" s="122"/>
      <x:c r="B30" s="122"/>
      <x:c r="C30" s="122"/>
      <x:c r="D30" s="122"/>
      <x:c r="E30" s="122"/>
      <x:c r="F30" s="122"/>
      <x:c r="G30" s="122"/>
      <x:c r="H30" s="122"/>
    </x:row>
    <x:row r="31">
      <x:c r="A31" s="122"/>
      <x:c r="B31" s="122"/>
      <x:c r="C31" s="122"/>
      <x:c r="D31" s="122"/>
      <x:c r="E31" s="122"/>
      <x:c r="F31" s="122"/>
      <x:c r="G31" s="122"/>
      <x:c r="H31" s="122"/>
    </x:row>
    <x:row r="32">
      <x:c r="A32" s="122"/>
      <x:c r="B32" s="122"/>
      <x:c r="C32" s="122"/>
      <x:c r="D32" s="122"/>
      <x:c r="E32" s="122"/>
      <x:c r="F32" s="122"/>
      <x:c r="G32" s="122"/>
      <x:c r="H32" s="122"/>
    </x:row>
    <x:row r="33">
      <x:c r="A33" s="122"/>
      <x:c r="B33" s="122"/>
      <x:c r="C33" s="122"/>
      <x:c r="D33" s="122"/>
      <x:c r="E33" s="122"/>
      <x:c r="F33" s="122"/>
      <x:c r="G33" s="122"/>
      <x:c r="H33" s="122"/>
    </x:row>
    <x:row r="34">
      <x:c r="A34" s="122"/>
      <x:c r="B34" s="122"/>
      <x:c r="C34" s="122"/>
      <x:c r="D34" s="122"/>
      <x:c r="E34" s="122"/>
      <x:c r="F34" s="122"/>
      <x:c r="G34" s="122"/>
      <x:c r="H34" s="122"/>
    </x:row>
    <x:row r="35">
      <x:c r="A35" s="122"/>
      <x:c r="B35" s="122"/>
      <x:c r="C35" s="122"/>
      <x:c r="D35" s="122"/>
      <x:c r="E35" s="122"/>
      <x:c r="F35" s="122"/>
      <x:c r="G35" s="122"/>
      <x:c r="H35" s="122"/>
    </x:row>
    <x:row r="36">
      <x:c r="A36" s="122"/>
      <x:c r="B36" s="122"/>
      <x:c r="C36" s="122"/>
      <x:c r="D36" s="122"/>
      <x:c r="E36" s="122"/>
      <x:c r="F36" s="122"/>
      <x:c r="G36" s="122"/>
      <x:c r="H36" s="122"/>
    </x:row>
    <x:row r="37">
      <x:c r="A37" s="122"/>
      <x:c r="B37" s="122"/>
      <x:c r="C37" s="122"/>
      <x:c r="D37" s="122"/>
      <x:c r="E37" s="122"/>
      <x:c r="F37" s="122"/>
      <x:c r="G37" s="122"/>
      <x:c r="H37" s="122"/>
    </x:row>
    <x:row r="38">
      <x:c r="A38" s="122"/>
      <x:c r="B38" s="122"/>
      <x:c r="C38" s="122"/>
      <x:c r="D38" s="122"/>
      <x:c r="E38" s="122"/>
      <x:c r="F38" s="122"/>
      <x:c r="G38" s="122"/>
      <x:c r="H38" s="122"/>
    </x:row>
    <x:row r="39">
      <x:c r="A39" s="122"/>
      <x:c r="B39" s="122"/>
      <x:c r="C39" s="122"/>
      <x:c r="D39" s="122"/>
      <x:c r="E39" s="122"/>
      <x:c r="F39" s="122"/>
      <x:c r="G39" s="122"/>
      <x:c r="H39" s="122"/>
    </x:row>
    <x:row r="40">
      <x:c r="A40" s="122"/>
      <x:c r="B40" s="122"/>
      <x:c r="C40" s="122"/>
      <x:c r="D40" s="122"/>
      <x:c r="E40" s="122"/>
      <x:c r="F40" s="122"/>
      <x:c r="G40" s="122"/>
      <x:c r="H40" s="122"/>
    </x:row>
    <x:row r="41">
      <x:c r="A41" s="122"/>
      <x:c r="B41" s="122"/>
      <x:c r="C41" s="122"/>
      <x:c r="D41" s="122"/>
      <x:c r="E41" s="122"/>
      <x:c r="F41" s="122"/>
      <x:c r="G41" s="122"/>
      <x:c r="H41" s="122"/>
    </x:row>
    <x:row r="42">
      <x:c r="A42" s="122"/>
      <x:c r="B42" s="122"/>
      <x:c r="C42" s="122"/>
      <x:c r="D42" s="122"/>
      <x:c r="E42" s="122"/>
      <x:c r="F42" s="122"/>
      <x:c r="G42" s="122"/>
      <x:c r="H42" s="122"/>
    </x:row>
    <x:row r="43">
      <x:c r="A43" s="122"/>
      <x:c r="B43" s="122"/>
      <x:c r="C43" s="122"/>
      <x:c r="D43" s="122"/>
      <x:c r="E43" s="122"/>
      <x:c r="F43" s="122"/>
      <x:c r="G43" s="122"/>
      <x:c r="H43" s="122"/>
    </x:row>
    <x:row r="44">
      <x:c r="A44" s="122"/>
      <x:c r="B44" s="122"/>
      <x:c r="C44" s="122"/>
      <x:c r="D44" s="122"/>
      <x:c r="E44" s="122"/>
      <x:c r="F44" s="122"/>
      <x:c r="G44" s="122"/>
      <x:c r="H44" s="122"/>
    </x:row>
    <x:row r="45">
      <x:c r="A45" s="122"/>
      <x:c r="B45" s="122"/>
      <x:c r="C45" s="122"/>
      <x:c r="D45" s="122"/>
      <x:c r="E45" s="122"/>
      <x:c r="F45" s="122"/>
      <x:c r="G45" s="122"/>
      <x:c r="H45" s="122"/>
    </x:row>
    <x:row r="46">
      <x:c r="A46" s="122"/>
      <x:c r="B46" s="122"/>
      <x:c r="C46" s="122"/>
      <x:c r="D46" s="122"/>
      <x:c r="E46" s="122"/>
      <x:c r="F46" s="122"/>
      <x:c r="G46" s="122"/>
      <x:c r="H46" s="122"/>
    </x:row>
    <x:row r="47">
      <x:c r="A47" s="122"/>
      <x:c r="B47" s="122"/>
      <x:c r="C47" s="122"/>
      <x:c r="D47" s="122"/>
      <x:c r="E47" s="122"/>
      <x:c r="F47" s="122"/>
      <x:c r="G47" s="122"/>
      <x:c r="H47" s="122"/>
    </x:row>
    <x:row r="48">
      <x:c r="A48" s="122"/>
      <x:c r="B48" s="122"/>
      <x:c r="C48" s="122"/>
      <x:c r="D48" s="122"/>
      <x:c r="E48" s="122"/>
      <x:c r="F48" s="122"/>
      <x:c r="G48" s="122"/>
      <x:c r="H48" s="122"/>
    </x:row>
    <x:row r="49">
      <x:c r="A49" s="122"/>
      <x:c r="B49" s="122"/>
      <x:c r="C49" s="122"/>
      <x:c r="D49" s="122"/>
      <x:c r="E49" s="122"/>
      <x:c r="F49" s="122"/>
      <x:c r="G49" s="122"/>
      <x:c r="H49" s="122"/>
    </x:row>
    <x:row r="50">
      <x:c r="A50" s="122"/>
      <x:c r="B50" s="122"/>
      <x:c r="C50" s="122"/>
      <x:c r="D50" s="122"/>
      <x:c r="E50" s="122"/>
      <x:c r="F50" s="122"/>
      <x:c r="G50" s="122"/>
      <x:c r="H50" s="122"/>
    </x:row>
    <x:row r="51">
      <x:c r="A51" s="122"/>
      <x:c r="B51" s="122"/>
      <x:c r="C51" s="122"/>
      <x:c r="D51" s="122"/>
      <x:c r="E51" s="122"/>
      <x:c r="F51" s="122"/>
      <x:c r="G51" s="122"/>
      <x:c r="H51" s="122"/>
    </x:row>
    <x:row r="52">
      <x:c r="A52" s="122"/>
      <x:c r="B52" s="122"/>
      <x:c r="C52" s="122"/>
      <x:c r="D52" s="122"/>
      <x:c r="E52" s="122"/>
      <x:c r="F52" s="122"/>
      <x:c r="G52" s="122"/>
      <x:c r="H52" s="122"/>
    </x:row>
    <x:row r="53">
      <x:c r="A53" s="122"/>
      <x:c r="B53" s="122"/>
      <x:c r="C53" s="122"/>
      <x:c r="D53" s="122"/>
      <x:c r="E53" s="122"/>
      <x:c r="F53" s="122"/>
      <x:c r="G53" s="122"/>
      <x:c r="H53" s="122"/>
    </x:row>
    <x:row r="54">
      <x:c r="A54" s="122"/>
      <x:c r="B54" s="122"/>
      <x:c r="C54" s="122"/>
      <x:c r="D54" s="122"/>
      <x:c r="E54" s="122"/>
      <x:c r="F54" s="122"/>
      <x:c r="G54" s="122"/>
      <x:c r="H54" s="122"/>
    </x:row>
    <x:row r="55">
      <x:c r="A55" s="122"/>
      <x:c r="B55" s="122"/>
      <x:c r="C55" s="122"/>
      <x:c r="D55" s="122"/>
      <x:c r="E55" s="122"/>
      <x:c r="F55" s="122"/>
      <x:c r="G55" s="122"/>
      <x:c r="H55" s="122"/>
    </x:row>
    <x:row r="56">
      <x:c r="A56" s="122"/>
      <x:c r="B56" s="122"/>
      <x:c r="C56" s="122"/>
      <x:c r="D56" s="122"/>
      <x:c r="E56" s="122"/>
      <x:c r="F56" s="122"/>
      <x:c r="G56" s="122"/>
      <x:c r="H56" s="122"/>
    </x:row>
    <x:row r="57">
      <x:c r="A57" s="122"/>
      <x:c r="B57" s="122"/>
      <x:c r="C57" s="122"/>
      <x:c r="D57" s="122"/>
      <x:c r="E57" s="122"/>
      <x:c r="F57" s="122"/>
      <x:c r="G57" s="122"/>
      <x:c r="H57" s="122"/>
    </x:row>
    <x:row r="58">
      <x:c r="A58" s="122"/>
      <x:c r="B58" s="122"/>
      <x:c r="C58" s="122"/>
      <x:c r="D58" s="122"/>
      <x:c r="E58" s="122"/>
      <x:c r="F58" s="122"/>
      <x:c r="G58" s="122"/>
      <x:c r="H58" s="122"/>
    </x:row>
    <x:row r="59">
      <x:c r="A59" s="122"/>
      <x:c r="B59" s="122"/>
      <x:c r="C59" s="122"/>
      <x:c r="D59" s="122"/>
      <x:c r="E59" s="122"/>
      <x:c r="F59" s="122"/>
      <x:c r="G59" s="122"/>
      <x:c r="H59" s="122"/>
    </x:row>
    <x:row r="60">
      <x:c r="A60" s="122"/>
      <x:c r="B60" s="122"/>
      <x:c r="C60" s="122"/>
      <x:c r="D60" s="122"/>
      <x:c r="E60" s="122"/>
      <x:c r="F60" s="122"/>
      <x:c r="G60" s="122"/>
      <x:c r="H60" s="122"/>
    </x:row>
    <x:row r="61">
      <x:c r="A61" s="122"/>
      <x:c r="B61" s="122"/>
      <x:c r="C61" s="122"/>
      <x:c r="D61" s="122"/>
      <x:c r="E61" s="122"/>
      <x:c r="F61" s="122"/>
      <x:c r="G61" s="122"/>
      <x:c r="H61" s="122"/>
    </x:row>
    <x:row r="62">
      <x:c r="A62" s="122"/>
      <x:c r="B62" s="122"/>
      <x:c r="C62" s="122"/>
      <x:c r="D62" s="122"/>
      <x:c r="E62" s="122"/>
      <x:c r="F62" s="122"/>
      <x:c r="G62" s="122"/>
      <x:c r="H62" s="122"/>
    </x:row>
    <x:row r="63">
      <x:c r="A63" s="122"/>
      <x:c r="B63" s="122"/>
      <x:c r="C63" s="122"/>
      <x:c r="D63" s="122"/>
      <x:c r="E63" s="122"/>
      <x:c r="F63" s="122"/>
      <x:c r="G63" s="122"/>
      <x:c r="H63" s="122"/>
    </x:row>
    <x:row r="64">
      <x:c r="A64" s="122"/>
      <x:c r="B64" s="122"/>
      <x:c r="C64" s="122"/>
      <x:c r="D64" s="122"/>
      <x:c r="E64" s="122"/>
      <x:c r="F64" s="122"/>
      <x:c r="G64" s="122"/>
      <x:c r="H64" s="122"/>
    </x:row>
    <x:row r="65">
      <x:c r="A65" s="122"/>
      <x:c r="B65" s="122"/>
      <x:c r="C65" s="122"/>
      <x:c r="D65" s="122"/>
      <x:c r="E65" s="122"/>
      <x:c r="F65" s="122"/>
      <x:c r="G65" s="122"/>
      <x:c r="H65" s="122"/>
    </x:row>
    <x:row r="66">
      <x:c r="A66" s="122"/>
      <x:c r="B66" s="122"/>
      <x:c r="C66" s="122"/>
      <x:c r="D66" s="122"/>
      <x:c r="E66" s="122"/>
      <x:c r="F66" s="122"/>
      <x:c r="G66" s="122"/>
      <x:c r="H66" s="122"/>
    </x:row>
    <x:row r="67">
      <x:c r="A67" s="122"/>
      <x:c r="B67" s="122"/>
      <x:c r="C67" s="122"/>
      <x:c r="D67" s="122"/>
      <x:c r="E67" s="122"/>
      <x:c r="F67" s="122"/>
      <x:c r="G67" s="122"/>
      <x:c r="H67" s="122"/>
    </x:row>
    <x:row r="68">
      <x:c r="A68" s="122"/>
      <x:c r="B68" s="122"/>
      <x:c r="C68" s="122"/>
      <x:c r="D68" s="122"/>
      <x:c r="E68" s="122"/>
      <x:c r="F68" s="122"/>
      <x:c r="G68" s="122"/>
      <x:c r="H68" s="122"/>
    </x:row>
    <x:row r="69">
      <x:c r="A69" s="122"/>
      <x:c r="B69" s="122"/>
      <x:c r="C69" s="122"/>
      <x:c r="D69" s="122"/>
      <x:c r="E69" s="122"/>
      <x:c r="F69" s="122"/>
      <x:c r="G69" s="122"/>
      <x:c r="H69" s="122"/>
    </x:row>
    <x:row r="70">
      <x:c r="A70" s="122"/>
      <x:c r="B70" s="122"/>
      <x:c r="C70" s="122"/>
      <x:c r="D70" s="122"/>
      <x:c r="E70" s="122"/>
      <x:c r="F70" s="122"/>
      <x:c r="G70" s="122"/>
      <x:c r="H70" s="122"/>
    </x:row>
    <x:row r="71">
      <x:c r="A71" s="122"/>
      <x:c r="B71" s="122"/>
      <x:c r="C71" s="122"/>
      <x:c r="D71" s="122"/>
      <x:c r="E71" s="122"/>
      <x:c r="F71" s="122"/>
      <x:c r="G71" s="122"/>
      <x:c r="H71" s="122"/>
    </x:row>
    <x:row r="72">
      <x:c r="A72" s="122"/>
      <x:c r="B72" s="122"/>
      <x:c r="C72" s="122"/>
      <x:c r="D72" s="122"/>
      <x:c r="E72" s="122"/>
      <x:c r="F72" s="122"/>
      <x:c r="G72" s="122"/>
      <x:c r="H72" s="122"/>
    </x:row>
    <x:row r="73">
      <x:c r="A73" s="122"/>
      <x:c r="B73" s="122"/>
      <x:c r="C73" s="122"/>
      <x:c r="D73" s="122"/>
      <x:c r="E73" s="122"/>
      <x:c r="F73" s="122"/>
      <x:c r="G73" s="122"/>
      <x:c r="H73" s="122"/>
    </x:row>
    <x:row r="74">
      <x:c r="A74" s="122"/>
      <x:c r="B74" s="122"/>
      <x:c r="C74" s="122"/>
      <x:c r="D74" s="122"/>
      <x:c r="E74" s="122"/>
      <x:c r="F74" s="122"/>
      <x:c r="G74" s="122"/>
      <x:c r="H74" s="122"/>
    </x:row>
    <x:row r="75">
      <x:c r="A75" s="122"/>
      <x:c r="B75" s="122"/>
      <x:c r="C75" s="122"/>
      <x:c r="D75" s="122"/>
      <x:c r="E75" s="122"/>
      <x:c r="F75" s="122"/>
      <x:c r="G75" s="122"/>
      <x:c r="H75" s="122"/>
    </x:row>
    <x:row r="76">
      <x:c r="A76" s="122"/>
      <x:c r="B76" s="122"/>
      <x:c r="C76" s="122"/>
      <x:c r="D76" s="122"/>
      <x:c r="E76" s="122"/>
      <x:c r="F76" s="122"/>
      <x:c r="G76" s="122"/>
      <x:c r="H76" s="122"/>
    </x:row>
    <x:row r="77">
      <x:c r="A77" s="122"/>
      <x:c r="B77" s="122"/>
      <x:c r="C77" s="122"/>
      <x:c r="D77" s="122"/>
      <x:c r="E77" s="122"/>
      <x:c r="F77" s="122"/>
      <x:c r="G77" s="122"/>
      <x:c r="H77" s="122"/>
    </x:row>
    <x:row r="78">
      <x:c r="A78" s="122"/>
      <x:c r="B78" s="122"/>
      <x:c r="C78" s="122"/>
      <x:c r="D78" s="122"/>
      <x:c r="E78" s="122"/>
      <x:c r="F78" s="122"/>
      <x:c r="G78" s="122"/>
      <x:c r="H78" s="122"/>
    </x:row>
    <x:row r="79">
      <x:c r="A79" s="122"/>
      <x:c r="B79" s="122"/>
      <x:c r="C79" s="122"/>
      <x:c r="D79" s="122"/>
      <x:c r="E79" s="122"/>
      <x:c r="F79" s="122"/>
      <x:c r="G79" s="122"/>
      <x:c r="H79" s="122"/>
    </x:row>
    <x:row r="80">
      <x:c r="A80" s="122"/>
      <x:c r="B80" s="122"/>
      <x:c r="C80" s="122"/>
      <x:c r="D80" s="122"/>
      <x:c r="E80" s="122"/>
      <x:c r="F80" s="122"/>
      <x:c r="G80" s="122"/>
      <x:c r="H80" s="122"/>
    </x:row>
  </x:sheetData>
  <x:mergeCells>
    <x:mergeCell ref="A1:H1"/>
    <x:mergeCell ref="A2:H3"/>
    <x:mergeCell ref="A5:H5"/>
    <x:mergeCell ref="A9:H9"/>
    <x:mergeCell ref="A13:H14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42" hidden="0" customWidth="1"/>
    <x:col min="3" max="3" width="20" hidden="0" customWidth="1"/>
    <x:col min="4" max="4" width="58" hidden="0" customWidth="1"/>
    <x:col min="5" max="5" width="20" hidden="0" customWidth="1"/>
  </x:cols>
  <x:sheetData>
    <x:row r="1" ht="28" customHeight="1">
      <x:c r="A1" s="6" t="str">
        <x:v>Step 14 — Control Checks and Reconciliations</x:v>
      </x:c>
      <x:c r="B1" s="6"/>
      <x:c r="C1" s="6"/>
      <x:c r="D1" s="6"/>
      <x:c r="E1" s="6"/>
      <x:c r="F1" s="6"/>
      <x:c r="G1" s="6"/>
      <x:c r="H1" s="6"/>
    </x:row>
    <x:row r="2" ht="44" customHeight="1">
      <x:c r="A2" s="121" t="str">
        <x:v>Monthly controls to ensure stand sale accounting does not drift from the contract/payment/VAT/COS logic.</x:v>
      </x:c>
      <x:c r="B2" s="121"/>
      <x:c r="C2" s="121"/>
      <x:c r="D2" s="121"/>
      <x:c r="E2" s="121"/>
      <x:c r="F2" s="122"/>
      <x:c r="G2" s="122"/>
      <x:c r="H2" s="122"/>
    </x:row>
    <x:row r="3" ht="44" customHeight="1">
      <x:c r="A3" s="121"/>
      <x:c r="B3" s="121"/>
      <x:c r="C3" s="121"/>
      <x:c r="D3" s="121"/>
      <x:c r="E3" s="121"/>
      <x:c r="F3" s="122"/>
      <x:c r="G3" s="122"/>
      <x:c r="H3" s="122"/>
    </x:row>
    <x:row r="4">
      <x:c r="A4" s="122"/>
      <x:c r="B4" s="122"/>
      <x:c r="C4" s="122"/>
      <x:c r="D4" s="122"/>
      <x:c r="E4" s="122"/>
      <x:c r="F4" s="122"/>
      <x:c r="G4" s="122"/>
      <x:c r="H4" s="122"/>
    </x:row>
    <x:row r="5">
      <x:c r="A5" s="135" t="str">
        <x:v>Core checks</x:v>
      </x:c>
      <x:c r="B5" s="135"/>
      <x:c r="C5" s="135"/>
      <x:c r="D5" s="135"/>
      <x:c r="E5" s="135"/>
      <x:c r="F5" s="122"/>
      <x:c r="G5" s="122"/>
      <x:c r="H5" s="122"/>
    </x:row>
    <x:row r="6">
      <x:c r="A6" s="123" t="str">
        <x:v>Check</x:v>
      </x:c>
      <x:c r="B6" s="124" t="str">
        <x:v>Formula / Source</x:v>
      </x:c>
      <x:c r="C6" s="124" t="str">
        <x:v>Expected Value</x:v>
      </x:c>
      <x:c r="D6" s="124" t="str">
        <x:v>Control Purpose</x:v>
      </x:c>
      <x:c r="E6" s="125" t="str">
        <x:v>Frequency</x:v>
      </x:c>
      <x:c r="F6" s="122"/>
      <x:c r="G6" s="122"/>
      <x:c r="H6" s="122"/>
    </x:row>
    <x:row r="7">
      <x:c r="A7" s="126" t="str">
        <x:v>Gross contract value</x:v>
      </x:c>
      <x:c r="B7" s="128" t="str">
        <x:v>Net price + VAT</x:v>
      </x:c>
      <x:c r="C7" s="127" t="n">
        <x:f>'01 Assumptions'!B9</x:f>
        <x:v>23100</x:v>
      </x:c>
      <x:c r="D7" s="128" t="str">
        <x:v>Opening customer receivable should equal gross contract</x:v>
      </x:c>
      <x:c r="E7" s="129" t="str">
        <x:v>At inception</x:v>
      </x:c>
      <x:c r="F7" s="122"/>
      <x:c r="G7" s="122"/>
      <x:c r="H7" s="122"/>
    </x:row>
    <x:row r="8">
      <x:c r="A8" s="126" t="str">
        <x:v>Total net revenue after all payments</x:v>
      </x:c>
      <x:c r="B8" s="128" t="str">
        <x:v>Net stand price</x:v>
      </x:c>
      <x:c r="C8" s="127" t="n">
        <x:f>'01 Assumptions'!B6</x:f>
        <x:v>20000</x:v>
      </x:c>
      <x:c r="D8" s="128" t="str">
        <x:v>Revenue should equal net price excluding VAT</x:v>
      </x:c>
      <x:c r="E8" s="129" t="str">
        <x:v>At final payment</x:v>
      </x:c>
      <x:c r="F8" s="122"/>
      <x:c r="G8" s="122"/>
      <x:c r="H8" s="122"/>
    </x:row>
    <x:row r="9">
      <x:c r="A9" s="126" t="str">
        <x:v>Total VAT triggered after all payments</x:v>
      </x:c>
      <x:c r="B9" s="128" t="str">
        <x:v>VAT on full contract</x:v>
      </x:c>
      <x:c r="C9" s="127" t="n">
        <x:f>'01 Assumptions'!B8</x:f>
        <x:v>3100</x:v>
      </x:c>
      <x:c r="D9" s="128" t="str">
        <x:v>VAT moved from Deferred Output VAT should equal full VAT</x:v>
      </x:c>
      <x:c r="E9" s="129" t="str">
        <x:v>At final payment</x:v>
      </x:c>
      <x:c r="F9" s="122"/>
      <x:c r="G9" s="122"/>
      <x:c r="H9" s="122"/>
    </x:row>
    <x:row r="10">
      <x:c r="A10" s="126" t="str">
        <x:v>Total COS after all payments</x:v>
      </x:c>
      <x:c r="B10" s="128" t="str">
        <x:v>Stand cost</x:v>
      </x:c>
      <x:c r="C10" s="127" t="n">
        <x:f>'01 Assumptions'!B17</x:f>
        <x:v>8000</x:v>
      </x:c>
      <x:c r="D10" s="128" t="str">
        <x:v>COS should equal assigned stand cost</x:v>
      </x:c>
      <x:c r="E10" s="129" t="str">
        <x:v>At final payment</x:v>
      </x:c>
      <x:c r="F10" s="122"/>
      <x:c r="G10" s="122"/>
      <x:c r="H10" s="122"/>
    </x:row>
    <x:row r="11">
      <x:c r="A11" s="126" t="str">
        <x:v>Contract liability after deposit</x:v>
      </x:c>
      <x:c r="B11" s="128" t="str">
        <x:v>Net price - deposit net</x:v>
      </x:c>
      <x:c r="C11" s="127" t="n">
        <x:f>'01 Assumptions'!B6-'01 Assumptions'!B10</x:f>
        <x:v>18000</x:v>
      </x:c>
      <x:c r="D11" s="128" t="str">
        <x:v>Check contract liability roll-forward</x:v>
      </x:c>
      <x:c r="E11" s="129" t="str">
        <x:v>After deposit</x:v>
      </x:c>
      <x:c r="F11" s="122"/>
      <x:c r="G11" s="122"/>
      <x:c r="H11" s="122"/>
    </x:row>
    <x:row r="12">
      <x:c r="A12" s="126" t="str">
        <x:v>Deferred Output VAT after deposit</x:v>
      </x:c>
      <x:c r="B12" s="128" t="str">
        <x:v>Total VAT - deposit VAT</x:v>
      </x:c>
      <x:c r="C12" s="127" t="n">
        <x:f>'01 Assumptions'!B8-'01 Assumptions'!B11</x:f>
        <x:v>2790</x:v>
      </x:c>
      <x:c r="D12" s="128" t="str">
        <x:v>Check VAT timing account</x:v>
      </x:c>
      <x:c r="E12" s="129" t="str">
        <x:v>After deposit</x:v>
      </x:c>
      <x:c r="F12" s="122"/>
      <x:c r="G12" s="122"/>
      <x:c r="H12" s="122"/>
    </x:row>
    <x:row r="13">
      <x:c r="A13" s="126" t="str">
        <x:v>Customer receivable after deposit</x:v>
      </x:c>
      <x:c r="B13" s="128" t="str">
        <x:v>Gross contract - gross deposit</x:v>
      </x:c>
      <x:c r="C13" s="127" t="n">
        <x:f>'01 Assumptions'!B9-'01 Assumptions'!B12</x:f>
        <x:v>20790</x:v>
      </x:c>
      <x:c r="D13" s="128" t="str">
        <x:v>Check receivable roll-forward</x:v>
      </x:c>
      <x:c r="E13" s="129" t="str">
        <x:v>After deposit</x:v>
      </x:c>
      <x:c r="F13" s="122"/>
      <x:c r="G13" s="122"/>
      <x:c r="H13" s="122"/>
    </x:row>
    <x:row r="14">
      <x:c r="A14" s="126" t="str">
        <x:v>No monthly due accrual</x:v>
      </x:c>
      <x:c r="B14" s="128" t="str">
        <x:v>N/A</x:v>
      </x:c>
      <x:c r="C14" s="127" t="n">
        <x:v>0</x:v>
      </x:c>
      <x:c r="D14" s="128" t="str">
        <x:v>Instalments due are tracked in subledger, not new GL entries</x:v>
      </x:c>
      <x:c r="E14" s="129" t="str">
        <x:v>Monthly</x:v>
      </x:c>
      <x:c r="F14" s="122"/>
      <x:c r="G14" s="122"/>
      <x:c r="H14" s="122"/>
    </x:row>
    <x:row r="15">
      <x:c r="A15" s="131" t="str">
        <x:v>VAT remittance</x:v>
      </x:c>
      <x:c r="B15" s="133" t="str">
        <x:v>VAT Output - ZIMRA balance</x:v>
      </x:c>
      <x:c r="C15" s="132" t="str">
        <x:v>Link to TB</x:v>
      </x:c>
      <x:c r="D15" s="133" t="str">
        <x:v>Only triggered VAT is remitted</x:v>
      </x:c>
      <x:c r="E15" s="134" t="str">
        <x:v>Bi-monthly</x:v>
      </x:c>
      <x:c r="F15" s="122"/>
      <x:c r="G15" s="122"/>
      <x:c r="H15" s="122"/>
    </x:row>
    <x:row r="16">
      <x:c r="A16" s="122" t="str">
        <x:v>Stand cost master tie-out</x:v>
      </x:c>
      <x:c r="B16" s="122" t="str">
        <x:v>Inventory opening + WIP capitalized - COS</x:v>
      </x:c>
      <x:c r="C16" s="162" t="str">
        <x:v>Link to stand cost master</x:v>
      </x:c>
      <x:c r="D16" s="122" t="str">
        <x:v>Stand-level costs must tie to GL inventory</x:v>
      </x:c>
      <x:c r="E16" s="122" t="str">
        <x:v>Monthly</x:v>
      </x:c>
      <x:c r="F16" s="122"/>
      <x:c r="G16" s="122"/>
      <x:c r="H16" s="122"/>
    </x:row>
    <x:row r="17">
      <x:c r="A17" s="122"/>
      <x:c r="B17" s="122"/>
      <x:c r="C17" s="122"/>
      <x:c r="D17" s="122"/>
      <x:c r="E17" s="122"/>
      <x:c r="F17" s="122"/>
      <x:c r="G17" s="122"/>
      <x:c r="H17" s="122"/>
    </x:row>
    <x:row r="18">
      <x:c r="A18" s="122"/>
      <x:c r="B18" s="122"/>
      <x:c r="C18" s="122"/>
      <x:c r="D18" s="122"/>
      <x:c r="E18" s="122"/>
      <x:c r="F18" s="122"/>
      <x:c r="G18" s="122"/>
      <x:c r="H18" s="122"/>
    </x:row>
    <x:row r="19">
      <x:c r="A19" s="122"/>
      <x:c r="B19" s="122"/>
      <x:c r="C19" s="122"/>
      <x:c r="D19" s="122"/>
      <x:c r="E19" s="122"/>
      <x:c r="F19" s="122"/>
      <x:c r="G19" s="122"/>
      <x:c r="H19" s="122"/>
    </x:row>
    <x:row r="20">
      <x:c r="A20" s="122"/>
      <x:c r="B20" s="122"/>
      <x:c r="C20" s="122"/>
      <x:c r="D20" s="122"/>
      <x:c r="E20" s="122"/>
      <x:c r="F20" s="122"/>
      <x:c r="G20" s="122"/>
      <x:c r="H20" s="122"/>
    </x:row>
    <x:row r="21">
      <x:c r="A21" s="122"/>
      <x:c r="B21" s="122"/>
      <x:c r="C21" s="122"/>
      <x:c r="D21" s="122"/>
      <x:c r="E21" s="122"/>
      <x:c r="F21" s="122"/>
      <x:c r="G21" s="122"/>
      <x:c r="H21" s="122"/>
    </x:row>
    <x:row r="22">
      <x:c r="A22" s="122"/>
      <x:c r="B22" s="122"/>
      <x:c r="C22" s="122"/>
      <x:c r="D22" s="122"/>
      <x:c r="E22" s="122"/>
      <x:c r="F22" s="122"/>
      <x:c r="G22" s="122"/>
      <x:c r="H22" s="122"/>
    </x:row>
    <x:row r="23">
      <x:c r="A23" s="122"/>
      <x:c r="B23" s="122"/>
      <x:c r="C23" s="122"/>
      <x:c r="D23" s="122"/>
      <x:c r="E23" s="122"/>
      <x:c r="F23" s="122"/>
      <x:c r="G23" s="122"/>
      <x:c r="H23" s="122"/>
    </x:row>
    <x:row r="24">
      <x:c r="A24" s="122"/>
      <x:c r="B24" s="122"/>
      <x:c r="C24" s="122"/>
      <x:c r="D24" s="122"/>
      <x:c r="E24" s="122"/>
      <x:c r="F24" s="122"/>
      <x:c r="G24" s="122"/>
      <x:c r="H24" s="122"/>
    </x:row>
    <x:row r="25">
      <x:c r="A25" s="122"/>
      <x:c r="B25" s="122"/>
      <x:c r="C25" s="122"/>
      <x:c r="D25" s="122"/>
      <x:c r="E25" s="122"/>
      <x:c r="F25" s="122"/>
      <x:c r="G25" s="122"/>
      <x:c r="H25" s="122"/>
    </x:row>
    <x:row r="26">
      <x:c r="A26" s="122"/>
      <x:c r="B26" s="122"/>
      <x:c r="C26" s="122"/>
      <x:c r="D26" s="122"/>
      <x:c r="E26" s="122"/>
      <x:c r="F26" s="122"/>
      <x:c r="G26" s="122"/>
      <x:c r="H26" s="122"/>
    </x:row>
    <x:row r="27">
      <x:c r="A27" s="122"/>
      <x:c r="B27" s="122"/>
      <x:c r="C27" s="122"/>
      <x:c r="D27" s="122"/>
      <x:c r="E27" s="122"/>
      <x:c r="F27" s="122"/>
      <x:c r="G27" s="122"/>
      <x:c r="H27" s="122"/>
    </x:row>
    <x:row r="28">
      <x:c r="A28" s="122"/>
      <x:c r="B28" s="122"/>
      <x:c r="C28" s="122"/>
      <x:c r="D28" s="122"/>
      <x:c r="E28" s="122"/>
      <x:c r="F28" s="122"/>
      <x:c r="G28" s="122"/>
      <x:c r="H28" s="122"/>
    </x:row>
    <x:row r="29">
      <x:c r="A29" s="122"/>
      <x:c r="B29" s="122"/>
      <x:c r="C29" s="122"/>
      <x:c r="D29" s="122"/>
      <x:c r="E29" s="122"/>
      <x:c r="F29" s="122"/>
      <x:c r="G29" s="122"/>
      <x:c r="H29" s="122"/>
    </x:row>
    <x:row r="30">
      <x:c r="A30" s="122"/>
      <x:c r="B30" s="122"/>
      <x:c r="C30" s="122"/>
      <x:c r="D30" s="122"/>
      <x:c r="E30" s="122"/>
      <x:c r="F30" s="122"/>
      <x:c r="G30" s="122"/>
      <x:c r="H30" s="122"/>
    </x:row>
    <x:row r="31">
      <x:c r="A31" s="122"/>
      <x:c r="B31" s="122"/>
      <x:c r="C31" s="122"/>
      <x:c r="D31" s="122"/>
      <x:c r="E31" s="122"/>
      <x:c r="F31" s="122"/>
      <x:c r="G31" s="122"/>
      <x:c r="H31" s="122"/>
    </x:row>
    <x:row r="32">
      <x:c r="A32" s="122"/>
      <x:c r="B32" s="122"/>
      <x:c r="C32" s="122"/>
      <x:c r="D32" s="122"/>
      <x:c r="E32" s="122"/>
      <x:c r="F32" s="122"/>
      <x:c r="G32" s="122"/>
      <x:c r="H32" s="122"/>
    </x:row>
    <x:row r="33">
      <x:c r="A33" s="122"/>
      <x:c r="B33" s="122"/>
      <x:c r="C33" s="122"/>
      <x:c r="D33" s="122"/>
      <x:c r="E33" s="122"/>
      <x:c r="F33" s="122"/>
      <x:c r="G33" s="122"/>
      <x:c r="H33" s="122"/>
    </x:row>
    <x:row r="34">
      <x:c r="A34" s="122"/>
      <x:c r="B34" s="122"/>
      <x:c r="C34" s="122"/>
      <x:c r="D34" s="122"/>
      <x:c r="E34" s="122"/>
      <x:c r="F34" s="122"/>
      <x:c r="G34" s="122"/>
      <x:c r="H34" s="122"/>
    </x:row>
    <x:row r="35">
      <x:c r="A35" s="122"/>
      <x:c r="B35" s="122"/>
      <x:c r="C35" s="122"/>
      <x:c r="D35" s="122"/>
      <x:c r="E35" s="122"/>
      <x:c r="F35" s="122"/>
      <x:c r="G35" s="122"/>
      <x:c r="H35" s="122"/>
    </x:row>
    <x:row r="36">
      <x:c r="A36" s="122"/>
      <x:c r="B36" s="122"/>
      <x:c r="C36" s="122"/>
      <x:c r="D36" s="122"/>
      <x:c r="E36" s="122"/>
      <x:c r="F36" s="122"/>
      <x:c r="G36" s="122"/>
      <x:c r="H36" s="122"/>
    </x:row>
    <x:row r="37">
      <x:c r="A37" s="122"/>
      <x:c r="B37" s="122"/>
      <x:c r="C37" s="122"/>
      <x:c r="D37" s="122"/>
      <x:c r="E37" s="122"/>
      <x:c r="F37" s="122"/>
      <x:c r="G37" s="122"/>
      <x:c r="H37" s="122"/>
    </x:row>
    <x:row r="38">
      <x:c r="A38" s="122"/>
      <x:c r="B38" s="122"/>
      <x:c r="C38" s="122"/>
      <x:c r="D38" s="122"/>
      <x:c r="E38" s="122"/>
      <x:c r="F38" s="122"/>
      <x:c r="G38" s="122"/>
      <x:c r="H38" s="122"/>
    </x:row>
    <x:row r="39">
      <x:c r="A39" s="122"/>
      <x:c r="B39" s="122"/>
      <x:c r="C39" s="122"/>
      <x:c r="D39" s="122"/>
      <x:c r="E39" s="122"/>
      <x:c r="F39" s="122"/>
      <x:c r="G39" s="122"/>
      <x:c r="H39" s="122"/>
    </x:row>
    <x:row r="40">
      <x:c r="A40" s="122"/>
      <x:c r="B40" s="122"/>
      <x:c r="C40" s="122"/>
      <x:c r="D40" s="122"/>
      <x:c r="E40" s="122"/>
      <x:c r="F40" s="122"/>
      <x:c r="G40" s="122"/>
      <x:c r="H40" s="122"/>
    </x:row>
    <x:row r="41">
      <x:c r="A41" s="122"/>
      <x:c r="B41" s="122"/>
      <x:c r="C41" s="122"/>
      <x:c r="D41" s="122"/>
      <x:c r="E41" s="122"/>
      <x:c r="F41" s="122"/>
      <x:c r="G41" s="122"/>
      <x:c r="H41" s="122"/>
    </x:row>
    <x:row r="42">
      <x:c r="A42" s="122"/>
      <x:c r="B42" s="122"/>
      <x:c r="C42" s="122"/>
      <x:c r="D42" s="122"/>
      <x:c r="E42" s="122"/>
      <x:c r="F42" s="122"/>
      <x:c r="G42" s="122"/>
      <x:c r="H42" s="122"/>
    </x:row>
    <x:row r="43">
      <x:c r="A43" s="122"/>
      <x:c r="B43" s="122"/>
      <x:c r="C43" s="122"/>
      <x:c r="D43" s="122"/>
      <x:c r="E43" s="122"/>
      <x:c r="F43" s="122"/>
      <x:c r="G43" s="122"/>
      <x:c r="H43" s="122"/>
    </x:row>
    <x:row r="44">
      <x:c r="A44" s="122"/>
      <x:c r="B44" s="122"/>
      <x:c r="C44" s="122"/>
      <x:c r="D44" s="122"/>
      <x:c r="E44" s="122"/>
      <x:c r="F44" s="122"/>
      <x:c r="G44" s="122"/>
      <x:c r="H44" s="122"/>
    </x:row>
    <x:row r="45">
      <x:c r="A45" s="122"/>
      <x:c r="B45" s="122"/>
      <x:c r="C45" s="122"/>
      <x:c r="D45" s="122"/>
      <x:c r="E45" s="122"/>
      <x:c r="F45" s="122"/>
      <x:c r="G45" s="122"/>
      <x:c r="H45" s="122"/>
    </x:row>
    <x:row r="46">
      <x:c r="A46" s="122"/>
      <x:c r="B46" s="122"/>
      <x:c r="C46" s="122"/>
      <x:c r="D46" s="122"/>
      <x:c r="E46" s="122"/>
      <x:c r="F46" s="122"/>
      <x:c r="G46" s="122"/>
      <x:c r="H46" s="122"/>
    </x:row>
    <x:row r="47">
      <x:c r="A47" s="122"/>
      <x:c r="B47" s="122"/>
      <x:c r="C47" s="122"/>
      <x:c r="D47" s="122"/>
      <x:c r="E47" s="122"/>
      <x:c r="F47" s="122"/>
      <x:c r="G47" s="122"/>
      <x:c r="H47" s="122"/>
    </x:row>
    <x:row r="48">
      <x:c r="A48" s="122"/>
      <x:c r="B48" s="122"/>
      <x:c r="C48" s="122"/>
      <x:c r="D48" s="122"/>
      <x:c r="E48" s="122"/>
      <x:c r="F48" s="122"/>
      <x:c r="G48" s="122"/>
      <x:c r="H48" s="122"/>
    </x:row>
    <x:row r="49">
      <x:c r="A49" s="122"/>
      <x:c r="B49" s="122"/>
      <x:c r="C49" s="122"/>
      <x:c r="D49" s="122"/>
      <x:c r="E49" s="122"/>
      <x:c r="F49" s="122"/>
      <x:c r="G49" s="122"/>
      <x:c r="H49" s="122"/>
    </x:row>
    <x:row r="50">
      <x:c r="A50" s="122"/>
      <x:c r="B50" s="122"/>
      <x:c r="C50" s="122"/>
      <x:c r="D50" s="122"/>
      <x:c r="E50" s="122"/>
      <x:c r="F50" s="122"/>
      <x:c r="G50" s="122"/>
      <x:c r="H50" s="122"/>
    </x:row>
    <x:row r="51">
      <x:c r="A51" s="122"/>
      <x:c r="B51" s="122"/>
      <x:c r="C51" s="122"/>
      <x:c r="D51" s="122"/>
      <x:c r="E51" s="122"/>
      <x:c r="F51" s="122"/>
      <x:c r="G51" s="122"/>
      <x:c r="H51" s="122"/>
    </x:row>
    <x:row r="52">
      <x:c r="A52" s="122"/>
      <x:c r="B52" s="122"/>
      <x:c r="C52" s="122"/>
      <x:c r="D52" s="122"/>
      <x:c r="E52" s="122"/>
      <x:c r="F52" s="122"/>
      <x:c r="G52" s="122"/>
      <x:c r="H52" s="122"/>
    </x:row>
    <x:row r="53">
      <x:c r="A53" s="122"/>
      <x:c r="B53" s="122"/>
      <x:c r="C53" s="122"/>
      <x:c r="D53" s="122"/>
      <x:c r="E53" s="122"/>
      <x:c r="F53" s="122"/>
      <x:c r="G53" s="122"/>
      <x:c r="H53" s="122"/>
    </x:row>
    <x:row r="54">
      <x:c r="A54" s="122"/>
      <x:c r="B54" s="122"/>
      <x:c r="C54" s="122"/>
      <x:c r="D54" s="122"/>
      <x:c r="E54" s="122"/>
      <x:c r="F54" s="122"/>
      <x:c r="G54" s="122"/>
      <x:c r="H54" s="122"/>
    </x:row>
    <x:row r="55">
      <x:c r="A55" s="122"/>
      <x:c r="B55" s="122"/>
      <x:c r="C55" s="122"/>
      <x:c r="D55" s="122"/>
      <x:c r="E55" s="122"/>
      <x:c r="F55" s="122"/>
      <x:c r="G55" s="122"/>
      <x:c r="H55" s="122"/>
    </x:row>
    <x:row r="56">
      <x:c r="A56" s="122"/>
      <x:c r="B56" s="122"/>
      <x:c r="C56" s="122"/>
      <x:c r="D56" s="122"/>
      <x:c r="E56" s="122"/>
      <x:c r="F56" s="122"/>
      <x:c r="G56" s="122"/>
      <x:c r="H56" s="122"/>
    </x:row>
    <x:row r="57">
      <x:c r="A57" s="122"/>
      <x:c r="B57" s="122"/>
      <x:c r="C57" s="122"/>
      <x:c r="D57" s="122"/>
      <x:c r="E57" s="122"/>
      <x:c r="F57" s="122"/>
      <x:c r="G57" s="122"/>
      <x:c r="H57" s="122"/>
    </x:row>
    <x:row r="58">
      <x:c r="A58" s="122"/>
      <x:c r="B58" s="122"/>
      <x:c r="C58" s="122"/>
      <x:c r="D58" s="122"/>
      <x:c r="E58" s="122"/>
      <x:c r="F58" s="122"/>
      <x:c r="G58" s="122"/>
      <x:c r="H58" s="122"/>
    </x:row>
    <x:row r="59">
      <x:c r="A59" s="122"/>
      <x:c r="B59" s="122"/>
      <x:c r="C59" s="122"/>
      <x:c r="D59" s="122"/>
      <x:c r="E59" s="122"/>
      <x:c r="F59" s="122"/>
      <x:c r="G59" s="122"/>
      <x:c r="H59" s="122"/>
    </x:row>
    <x:row r="60">
      <x:c r="A60" s="122"/>
      <x:c r="B60" s="122"/>
      <x:c r="C60" s="122"/>
      <x:c r="D60" s="122"/>
      <x:c r="E60" s="122"/>
      <x:c r="F60" s="122"/>
      <x:c r="G60" s="122"/>
      <x:c r="H60" s="122"/>
    </x:row>
    <x:row r="61">
      <x:c r="A61" s="122"/>
      <x:c r="B61" s="122"/>
      <x:c r="C61" s="122"/>
      <x:c r="D61" s="122"/>
      <x:c r="E61" s="122"/>
      <x:c r="F61" s="122"/>
      <x:c r="G61" s="122"/>
      <x:c r="H61" s="122"/>
    </x:row>
    <x:row r="62">
      <x:c r="A62" s="122"/>
      <x:c r="B62" s="122"/>
      <x:c r="C62" s="122"/>
      <x:c r="D62" s="122"/>
      <x:c r="E62" s="122"/>
      <x:c r="F62" s="122"/>
      <x:c r="G62" s="122"/>
      <x:c r="H62" s="122"/>
    </x:row>
    <x:row r="63">
      <x:c r="A63" s="122"/>
      <x:c r="B63" s="122"/>
      <x:c r="C63" s="122"/>
      <x:c r="D63" s="122"/>
      <x:c r="E63" s="122"/>
      <x:c r="F63" s="122"/>
      <x:c r="G63" s="122"/>
      <x:c r="H63" s="122"/>
    </x:row>
    <x:row r="64">
      <x:c r="A64" s="122"/>
      <x:c r="B64" s="122"/>
      <x:c r="C64" s="122"/>
      <x:c r="D64" s="122"/>
      <x:c r="E64" s="122"/>
      <x:c r="F64" s="122"/>
      <x:c r="G64" s="122"/>
      <x:c r="H64" s="122"/>
    </x:row>
    <x:row r="65">
      <x:c r="A65" s="122"/>
      <x:c r="B65" s="122"/>
      <x:c r="C65" s="122"/>
      <x:c r="D65" s="122"/>
      <x:c r="E65" s="122"/>
      <x:c r="F65" s="122"/>
      <x:c r="G65" s="122"/>
      <x:c r="H65" s="122"/>
    </x:row>
    <x:row r="66">
      <x:c r="A66" s="122"/>
      <x:c r="B66" s="122"/>
      <x:c r="C66" s="122"/>
      <x:c r="D66" s="122"/>
      <x:c r="E66" s="122"/>
      <x:c r="F66" s="122"/>
      <x:c r="G66" s="122"/>
      <x:c r="H66" s="122"/>
    </x:row>
    <x:row r="67">
      <x:c r="A67" s="122"/>
      <x:c r="B67" s="122"/>
      <x:c r="C67" s="122"/>
      <x:c r="D67" s="122"/>
      <x:c r="E67" s="122"/>
      <x:c r="F67" s="122"/>
      <x:c r="G67" s="122"/>
      <x:c r="H67" s="122"/>
    </x:row>
    <x:row r="68">
      <x:c r="A68" s="122"/>
      <x:c r="B68" s="122"/>
      <x:c r="C68" s="122"/>
      <x:c r="D68" s="122"/>
      <x:c r="E68" s="122"/>
      <x:c r="F68" s="122"/>
      <x:c r="G68" s="122"/>
      <x:c r="H68" s="122"/>
    </x:row>
    <x:row r="69">
      <x:c r="A69" s="122"/>
      <x:c r="B69" s="122"/>
      <x:c r="C69" s="122"/>
      <x:c r="D69" s="122"/>
      <x:c r="E69" s="122"/>
      <x:c r="F69" s="122"/>
      <x:c r="G69" s="122"/>
      <x:c r="H69" s="122"/>
    </x:row>
    <x:row r="70">
      <x:c r="A70" s="122"/>
      <x:c r="B70" s="122"/>
      <x:c r="C70" s="122"/>
      <x:c r="D70" s="122"/>
      <x:c r="E70" s="122"/>
      <x:c r="F70" s="122"/>
      <x:c r="G70" s="122"/>
      <x:c r="H70" s="122"/>
    </x:row>
    <x:row r="71">
      <x:c r="A71" s="122"/>
      <x:c r="B71" s="122"/>
      <x:c r="C71" s="122"/>
      <x:c r="D71" s="122"/>
      <x:c r="E71" s="122"/>
      <x:c r="F71" s="122"/>
      <x:c r="G71" s="122"/>
      <x:c r="H71" s="122"/>
    </x:row>
    <x:row r="72">
      <x:c r="A72" s="122"/>
      <x:c r="B72" s="122"/>
      <x:c r="C72" s="122"/>
      <x:c r="D72" s="122"/>
      <x:c r="E72" s="122"/>
      <x:c r="F72" s="122"/>
      <x:c r="G72" s="122"/>
      <x:c r="H72" s="122"/>
    </x:row>
    <x:row r="73">
      <x:c r="A73" s="122"/>
      <x:c r="B73" s="122"/>
      <x:c r="C73" s="122"/>
      <x:c r="D73" s="122"/>
      <x:c r="E73" s="122"/>
      <x:c r="F73" s="122"/>
      <x:c r="G73" s="122"/>
      <x:c r="H73" s="122"/>
    </x:row>
    <x:row r="74">
      <x:c r="A74" s="122"/>
      <x:c r="B74" s="122"/>
      <x:c r="C74" s="122"/>
      <x:c r="D74" s="122"/>
      <x:c r="E74" s="122"/>
      <x:c r="F74" s="122"/>
      <x:c r="G74" s="122"/>
      <x:c r="H74" s="122"/>
    </x:row>
    <x:row r="75">
      <x:c r="A75" s="122"/>
      <x:c r="B75" s="122"/>
      <x:c r="C75" s="122"/>
      <x:c r="D75" s="122"/>
      <x:c r="E75" s="122"/>
      <x:c r="F75" s="122"/>
      <x:c r="G75" s="122"/>
      <x:c r="H75" s="122"/>
    </x:row>
    <x:row r="76">
      <x:c r="A76" s="122"/>
      <x:c r="B76" s="122"/>
      <x:c r="C76" s="122"/>
      <x:c r="D76" s="122"/>
      <x:c r="E76" s="122"/>
      <x:c r="F76" s="122"/>
      <x:c r="G76" s="122"/>
      <x:c r="H76" s="122"/>
    </x:row>
    <x:row r="77">
      <x:c r="A77" s="122"/>
      <x:c r="B77" s="122"/>
      <x:c r="C77" s="122"/>
      <x:c r="D77" s="122"/>
      <x:c r="E77" s="122"/>
      <x:c r="F77" s="122"/>
      <x:c r="G77" s="122"/>
      <x:c r="H77" s="122"/>
    </x:row>
    <x:row r="78">
      <x:c r="A78" s="122"/>
      <x:c r="B78" s="122"/>
      <x:c r="C78" s="122"/>
      <x:c r="D78" s="122"/>
      <x:c r="E78" s="122"/>
      <x:c r="F78" s="122"/>
      <x:c r="G78" s="122"/>
      <x:c r="H78" s="122"/>
    </x:row>
    <x:row r="79">
      <x:c r="A79" s="122"/>
      <x:c r="B79" s="122"/>
      <x:c r="C79" s="122"/>
      <x:c r="D79" s="122"/>
      <x:c r="E79" s="122"/>
      <x:c r="F79" s="122"/>
      <x:c r="G79" s="122"/>
      <x:c r="H79" s="122"/>
    </x:row>
    <x:row r="80">
      <x:c r="A80" s="122"/>
      <x:c r="B80" s="122"/>
      <x:c r="C80" s="122"/>
      <x:c r="D80" s="122"/>
      <x:c r="E80" s="122"/>
      <x:c r="F80" s="122"/>
      <x:c r="G80" s="122"/>
      <x:c r="H80" s="122"/>
    </x:row>
  </x:sheetData>
  <x:mergeCells>
    <x:mergeCell ref="A1:E1"/>
    <x:mergeCell ref="A2:E3"/>
    <x:mergeCell ref="A5:E5"/>
  </x:mergeCells>
  <x:pageMargins left="0.7" right="0.7" top="0.75" bottom="0.75" header="0.3" footer="0.3"/>
</x:worksheet>
</file>